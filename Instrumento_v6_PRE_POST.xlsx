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Listas" sheetId="1" state="hidden" r:id="rId1"/>
    <sheet xmlns:r="http://schemas.openxmlformats.org/officeDocument/2006/relationships" name="Configuracion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Consentimientos" sheetId="4" state="visible" r:id="rId4"/>
    <sheet xmlns:r="http://schemas.openxmlformats.org/officeDocument/2006/relationships" name="Verificacion_VI" sheetId="5" state="visible" r:id="rId5"/>
    <sheet xmlns:r="http://schemas.openxmlformats.org/officeDocument/2006/relationships" name="TPR_PRE" sheetId="6" state="visible" r:id="rId6"/>
    <sheet xmlns:r="http://schemas.openxmlformats.org/officeDocument/2006/relationships" name="TPR_POST" sheetId="7" state="visible" r:id="rId7"/>
    <sheet xmlns:r="http://schemas.openxmlformats.org/officeDocument/2006/relationships" name="Ausentismo_PRE" sheetId="8" state="visible" r:id="rId8"/>
    <sheet xmlns:r="http://schemas.openxmlformats.org/officeDocument/2006/relationships" name="Ausentismo_POST" sheetId="9" state="visible" r:id="rId9"/>
    <sheet xmlns:r="http://schemas.openxmlformats.org/officeDocument/2006/relationships" name="Consultas_PRE" sheetId="10" state="visible" r:id="rId10"/>
    <sheet xmlns:r="http://schemas.openxmlformats.org/officeDocument/2006/relationships" name="Consultas_POST" sheetId="11" state="visible" r:id="rId11"/>
    <sheet xmlns:r="http://schemas.openxmlformats.org/officeDocument/2006/relationships" name="Sesiones" sheetId="12" state="visible" r:id="rId12"/>
    <sheet xmlns:r="http://schemas.openxmlformats.org/officeDocument/2006/relationships" name="Bitacora_Sesiones" sheetId="13" state="visible" r:id="rId13"/>
    <sheet xmlns:r="http://schemas.openxmlformats.org/officeDocument/2006/relationships" name="Resumen_PRE_POST" sheetId="14" state="visible" r:id="rId14"/>
    <sheet xmlns:r="http://schemas.openxmlformats.org/officeDocument/2006/relationships" name="SPSS_Pares" sheetId="15" state="visible" r:id="rId15"/>
    <sheet xmlns:r="http://schemas.openxmlformats.org/officeDocument/2006/relationships" name="Control_Calidad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0.0"/>
    <numFmt numFmtId="167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595959"/>
      <sz val="9"/>
    </font>
    <font>
      <name val="Arial"/>
      <charset val="1"/>
      <family val="0"/>
      <i val="1"/>
      <sz val="9"/>
    </font>
    <font>
      <b val="1"/>
      <color rgb="002E75B6"/>
      <sz val="12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166" fontId="0" fillId="7" borderId="2" pivotButton="0" quotePrefix="0" xfId="0"/>
    <xf numFmtId="1" fontId="0" fillId="7" borderId="2" pivotButton="0" quotePrefix="0" xfId="0"/>
    <xf numFmtId="167" fontId="0" fillId="7" borderId="2" pivotButton="0" quotePrefix="0" xfId="0"/>
    <xf numFmtId="0" fontId="9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5" fillId="8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10" borderId="2" pivotButton="0" quotePrefix="0" xfId="0"/>
    <xf numFmtId="164" fontId="0" fillId="10" borderId="2" pivotButton="0" quotePrefix="0" xfId="0"/>
    <xf numFmtId="164" fontId="0" fillId="9" borderId="2" pivotButton="0" quotePrefix="0" xfId="0"/>
    <xf numFmtId="0" fontId="0" fillId="0" borderId="2" pivotButton="0" quotePrefix="0" xfId="0"/>
    <xf numFmtId="0" fontId="15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00F4C7C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2"/>
    <col width="8" customWidth="1" style="26" min="3" max="3"/>
    <col width="14" customWidth="1" style="26" min="4" max="4"/>
    <col width="26" customWidth="1" style="26" min="5" max="5"/>
    <col width="22" customWidth="1" style="26" min="6" max="6"/>
    <col width="6" customWidth="1" style="26" min="7" max="7"/>
    <col width="14" customWidth="1" style="26" min="8" max="8"/>
  </cols>
  <sheetData>
    <row r="1" ht="15" customHeight="1" s="27">
      <c r="A1" s="28" t="inlineStr">
        <is>
          <t>FechasPRE</t>
        </is>
      </c>
      <c r="B1" s="28" t="inlineStr">
        <is>
          <t>FechasPOST</t>
        </is>
      </c>
      <c r="C1" s="28" t="inlineStr">
        <is>
          <t>SiNo</t>
        </is>
      </c>
      <c r="D1" s="28" t="inlineStr">
        <is>
          <t>EstadoCita</t>
        </is>
      </c>
      <c r="E1" s="28" t="inlineStr">
        <is>
          <t>Categoria</t>
        </is>
      </c>
      <c r="F1" s="28" t="inlineStr">
        <is>
          <t>CanalPRE</t>
        </is>
      </c>
      <c r="G1" s="28" t="inlineStr">
        <is>
          <t>Sexo</t>
        </is>
      </c>
      <c r="H1" s="28" t="inlineStr">
        <is>
          <t>EstadoPaciente</t>
        </is>
      </c>
      <c r="I1" s="29" t="inlineStr">
        <is>
          <t>ResultadoVI</t>
        </is>
      </c>
    </row>
    <row r="2" ht="15" customHeight="1" s="27">
      <c r="A2" s="30" t="n">
        <v>46237</v>
      </c>
      <c r="B2" s="30" t="n">
        <v>46267</v>
      </c>
      <c r="C2" s="26" t="inlineStr">
        <is>
          <t>Sí</t>
        </is>
      </c>
      <c r="D2" s="26" t="inlineStr">
        <is>
          <t>Asistió</t>
        </is>
      </c>
      <c r="E2" s="26" t="inlineStr">
        <is>
          <t>Citas</t>
        </is>
      </c>
      <c r="F2" s="26" t="inlineStr">
        <is>
          <t>Presencial</t>
        </is>
      </c>
      <c r="G2" s="26" t="inlineStr">
        <is>
          <t>M</t>
        </is>
      </c>
      <c r="H2" s="26" t="inlineStr">
        <is>
          <t>Activo</t>
        </is>
      </c>
      <c r="I2" s="26" t="inlineStr">
        <is>
          <t>Implementado</t>
        </is>
      </c>
    </row>
    <row r="3" ht="15" customHeight="1" s="27">
      <c r="A3" s="30" t="n">
        <v>46239</v>
      </c>
      <c r="B3" s="30" t="n">
        <v>46269</v>
      </c>
      <c r="C3" s="26" t="inlineStr">
        <is>
          <t>No</t>
        </is>
      </c>
      <c r="D3" s="26" t="inlineStr">
        <is>
          <t>No asistió</t>
        </is>
      </c>
      <c r="E3" s="26" t="inlineStr">
        <is>
          <t>Horarios</t>
        </is>
      </c>
      <c r="F3" s="26" t="inlineStr">
        <is>
          <t>Telefónico</t>
        </is>
      </c>
      <c r="G3" s="26" t="inlineStr">
        <is>
          <t>F</t>
        </is>
      </c>
      <c r="H3" s="26" t="inlineStr">
        <is>
          <t>Inactivo</t>
        </is>
      </c>
      <c r="I3" s="26" t="inlineStr">
        <is>
          <t>No implementado</t>
        </is>
      </c>
    </row>
    <row r="4" ht="15" customHeight="1" s="27">
      <c r="A4" s="30" t="n">
        <v>46241</v>
      </c>
      <c r="B4" s="30" t="n">
        <v>46272</v>
      </c>
      <c r="D4" s="26" t="inlineStr">
        <is>
          <t>Cancelada</t>
        </is>
      </c>
      <c r="E4" s="26" t="inlineStr">
        <is>
          <t>Información institucional</t>
        </is>
      </c>
      <c r="F4" s="26" t="inlineStr">
        <is>
          <t>WhatsApp institucional</t>
        </is>
      </c>
    </row>
    <row r="5" ht="15" customHeight="1" s="27">
      <c r="A5" s="30" t="n">
        <v>46244</v>
      </c>
      <c r="B5" s="30" t="n">
        <v>46274</v>
      </c>
      <c r="D5" s="26" t="inlineStr">
        <is>
          <t>Reprogramada</t>
        </is>
      </c>
      <c r="E5" s="26" t="inlineStr">
        <is>
          <t>Requisitos</t>
        </is>
      </c>
    </row>
    <row r="6" ht="15" customHeight="1" s="27">
      <c r="A6" s="30" t="n">
        <v>46246</v>
      </c>
      <c r="B6" s="30" t="n">
        <v>46276</v>
      </c>
      <c r="E6" s="26" t="inlineStr">
        <is>
          <t>Ubicación</t>
        </is>
      </c>
    </row>
    <row r="7" ht="15" customHeight="1" s="27">
      <c r="A7" s="30" t="n">
        <v>46248</v>
      </c>
      <c r="B7" s="30" t="n">
        <v>46279</v>
      </c>
      <c r="E7" s="26" t="inlineStr">
        <is>
          <t>Seguimiento administrativo</t>
        </is>
      </c>
    </row>
    <row r="8" ht="15" customHeight="1" s="27">
      <c r="A8" s="30" t="n">
        <v>46251</v>
      </c>
      <c r="B8" s="30" t="n">
        <v>46281</v>
      </c>
      <c r="E8" s="26" t="inlineStr">
        <is>
          <t>Otro</t>
        </is>
      </c>
    </row>
    <row r="9" ht="15" customHeight="1" s="27">
      <c r="A9" s="30" t="n">
        <v>46253</v>
      </c>
      <c r="B9" s="30" t="n">
        <v>46283</v>
      </c>
    </row>
    <row r="10" ht="15" customHeight="1" s="27">
      <c r="A10" s="30" t="n">
        <v>46255</v>
      </c>
      <c r="B10" s="30" t="n">
        <v>46286</v>
      </c>
    </row>
    <row r="11" ht="15" customHeight="1" s="27">
      <c r="A11" s="30" t="n">
        <v>46258</v>
      </c>
      <c r="B11" s="30" t="n">
        <v>46288</v>
      </c>
    </row>
    <row r="12" ht="15" customHeight="1" s="27">
      <c r="A12" s="30" t="n">
        <v>46260</v>
      </c>
      <c r="B12" s="30" t="n">
        <v>46290</v>
      </c>
    </row>
    <row r="13" ht="15" customHeight="1" s="27">
      <c r="A13" s="30" t="n">
        <v>46262</v>
      </c>
      <c r="B13" s="30" t="n">
        <v>46293</v>
      </c>
    </row>
    <row r="14" ht="15" customHeight="1" s="27">
      <c r="A14" s="30" t="n">
        <v>46265</v>
      </c>
      <c r="B14" s="30" t="n">
        <v>46295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5.5" customHeight="1" s="27">
      <c r="A1" s="31" t="inlineStr">
        <is>
          <t>CONFIGURACIÓN DEL ESTUDIO</t>
        </is>
      </c>
    </row>
    <row r="2" ht="33.75" customHeight="1" s="27">
      <c r="A2" s="28" t="inlineStr">
        <is>
          <t>Código de estudio:</t>
        </is>
      </c>
      <c r="B2" s="32" t="inlineStr">
        <is>
          <t>SWC-FO-2026 (Sistema Web con Chatbot - Fundación Oncológica - 2026)</t>
        </is>
      </c>
    </row>
    <row r="3" ht="33.75" customHeight="1" s="27">
      <c r="A3" s="28" t="inlineStr">
        <is>
          <t>Título:</t>
        </is>
      </c>
      <c r="B3" s="32" t="inlineStr">
        <is>
          <t>Sistema web con chatbot para la gestión de pacientes en una fundación oncológica privada de Lima, 2026</t>
        </is>
      </c>
    </row>
    <row r="4" ht="33.75" customHeight="1" s="27">
      <c r="A4" s="28" t="inlineStr">
        <is>
          <t>Diseño:</t>
        </is>
      </c>
      <c r="B4" s="32" t="inlineStr">
        <is>
          <t>Pre-experimental de un solo grupo, con pretest y postest, comparados mediante 13 sesiones equivalentes</t>
        </is>
      </c>
    </row>
    <row r="5" ht="33.75" customHeight="1" s="27">
      <c r="A5" s="28" t="inlineStr">
        <is>
          <t>Fechas PRETEST (lun/mié/vie):</t>
        </is>
      </c>
      <c r="B5" s="32" t="inlineStr">
        <is>
          <t>03/08/2026, 05/08/2026, 07/08/2026, 10/08/2026, 12/08/2026, 14/08/2026, 17/08/2026, 19/08/2026, 21/08/2026, 24/08/2026, 26/08/2026, 28/08/2026, 31/08/2026</t>
        </is>
      </c>
    </row>
    <row r="6" ht="33.75" customHeight="1" s="27">
      <c r="A6" s="28" t="inlineStr">
        <is>
          <t>Fechas POSTEST (lun/mié/vie):</t>
        </is>
      </c>
      <c r="B6" s="32" t="inlineStr">
        <is>
          <t>02/09/2026, 04/09/2026, 07/09/2026, 09/09/2026, 11/09/2026, 14/09/2026, 16/09/2026, 18/09/2026, 21/09/2026, 23/09/2026, 25/09/2026, 28/09/2026, 30/09/2026</t>
        </is>
      </c>
    </row>
    <row r="7" ht="33.75" customHeight="1" s="27">
      <c r="A7" s="28" t="inlineStr">
        <is>
          <t>Unidad de análisis - TPR:</t>
        </is>
      </c>
      <c r="B7" s="32" t="inlineStr">
        <is>
          <t>Cada proceso de registro de paciente efectivamente ejecutado</t>
        </is>
      </c>
    </row>
    <row r="8" ht="33.75" customHeight="1" s="27">
      <c r="A8" s="28" t="inlineStr">
        <is>
          <t>Unidad de análisis - Ausentismo:</t>
        </is>
      </c>
      <c r="B8" s="32" t="inlineStr">
        <is>
          <t>Cada cita médica programada elegible (se excluyen citas canceladas o reprogramadas con anticipación)</t>
        </is>
      </c>
    </row>
    <row r="9" ht="33.75" customHeight="1" s="27">
      <c r="A9" s="28" t="inlineStr">
        <is>
          <t>Unidad de análisis - Consultas:</t>
        </is>
      </c>
      <c r="B9" s="32" t="inlineStr">
        <is>
          <t>Cada consulta administrativa recibida (canales habituales en el pretest; chatbot en el postest)</t>
        </is>
      </c>
    </row>
    <row r="10" ht="33.75" customHeight="1" s="27">
      <c r="A10" s="28" t="inlineStr">
        <is>
          <t>Fórmula TPR:</t>
        </is>
      </c>
      <c r="B10" s="32" t="inlineStr">
        <is>
          <t>TPR = (Σ tiempo de cada registro) / (N.° de registros), en minutos</t>
        </is>
      </c>
    </row>
    <row r="11" ht="33.75" customHeight="1" s="27">
      <c r="A11" s="28" t="inlineStr">
        <is>
          <t>Fórmula Tasa de Ausentismo:</t>
        </is>
      </c>
      <c r="B11" s="32" t="inlineStr">
        <is>
          <t>TA = (N.° de citas no asistidas sin previo aviso / N.° de citas programadas elegibles) x 100</t>
        </is>
      </c>
    </row>
    <row r="12" ht="33.75" customHeight="1" s="27">
      <c r="A12" s="28" t="inlineStr">
        <is>
          <t>Fórmula Nivel de Consultas Atendidas:</t>
        </is>
      </c>
      <c r="B12" s="32" t="inlineStr">
        <is>
          <t>NCA = (N.° de consultas resueltas en el primer contacto y no derivadas / N.° de consultas recibidas) x 100</t>
        </is>
      </c>
    </row>
    <row r="13" ht="33.75" customHeight="1" s="27">
      <c r="A13" s="28" t="inlineStr">
        <is>
          <t>Criterios de inclusión:</t>
        </is>
      </c>
      <c r="B13" s="32" t="inlineStr">
        <is>
          <t>Pacientes activos de la fundación oncológica durante el período de estudio, mayores de edad, con al menos una cita programada en la institución en dicho período y que acepten participar mediante consentimiento informado.</t>
        </is>
      </c>
    </row>
    <row r="14" ht="33.75" customHeight="1" s="27">
      <c r="A14" s="28" t="inlineStr">
        <is>
          <t>Criterios de exclusión:</t>
        </is>
      </c>
      <c r="B14" s="32" t="inlineStr">
        <is>
          <t>Pacientes con registros incompletos o ilegibles, que suspendan tratamiento durante el estudio, que fallezcan durante la investigación, o que no otorguen o retiren su consentimiento.</t>
        </is>
      </c>
    </row>
    <row r="15" ht="33.75" customHeight="1" s="27">
      <c r="A15" s="28" t="inlineStr">
        <is>
          <t>Regla de calidad de datos:</t>
        </is>
      </c>
      <c r="B15" s="32" t="inlineStr">
        <is>
          <t>Registrar únicamente los eventos que realmente ocurrieron cada sesión. No completar filas artificiales para alcanzar un número fijo de registros, citas o consultas.</t>
        </is>
      </c>
    </row>
    <row r="17" ht="15" customHeight="1" s="27">
      <c r="A17" s="33" t="inlineStr">
        <is>
          <t>CÓMO USAR ESTE ARCHIVO</t>
        </is>
      </c>
    </row>
    <row r="18" ht="27.75" customHeight="1" s="27">
      <c r="A18" s="34" t="inlineStr">
        <is>
          <t>1. Use la hoja Pacientes para registrar a los 30 participantes (código, edad, sexo). Si aparece un paciente nuevo durante el postest que no estaba en la lista original, agréguelo al final.</t>
        </is>
      </c>
    </row>
    <row r="19" ht="27.75" customHeight="1" s="27">
      <c r="A19" s="34" t="inlineStr">
        <is>
          <t>2. En cada hoja PRE/POST (TPR, Ausentismo, Consultas), agregue una fila por cada evento real (registro, cita o consulta) que haya ocurrido, seleccionando la fecha de la lista desplegable. No es necesario llenar un número fijo de filas por sesión.</t>
        </is>
      </c>
    </row>
    <row r="20" ht="27.75" customHeight="1" s="27">
      <c r="A20" s="34" t="inlineStr">
        <is>
          <t>3. Las celdas en amarillo son las que debe completar con datos reales. Las columnas de fecha y las categóricas tienen lista desplegable para evitar errores de escritura.</t>
        </is>
      </c>
    </row>
    <row r="21" ht="27.75" customHeight="1" s="27">
      <c r="A21" s="34" t="inlineStr">
        <is>
          <t>4. La hoja Sesiones calcula automáticamente el valor de cada indicador por sesión (13 PRE y 13 POST) a partir de lo que usted haya registrado. No edite esa hoja manualmente.</t>
        </is>
      </c>
    </row>
    <row r="22" ht="27.75" customHeight="1" s="27">
      <c r="A22" s="34" t="inlineStr">
        <is>
          <t>5. La hoja Resumen_PRE_POST muestra el promedio general de cada indicador; se actualiza sola.</t>
        </is>
      </c>
    </row>
    <row r="24">
      <c r="A24" s="35" t="inlineStr">
        <is>
          <t>REGLAS DE REGISTRO (versión 3)</t>
        </is>
      </c>
    </row>
    <row r="25">
      <c r="A25" s="36" t="inlineStr">
        <is>
          <t>Consulta resuelta:</t>
        </is>
      </c>
      <c r="B25" s="37" t="inlineStr">
        <is>
          <t>Se marca "Sí" en la columna F solo si el paciente obtuvo la información solicitada en el primer contacto y no necesitó volver a comunicarse por el mismo motivo. Se aplica igual en el pretest y en el postest.</t>
        </is>
      </c>
    </row>
    <row r="26">
      <c r="A26" s="36" t="inlineStr">
        <is>
          <t>Consulta derivada:</t>
        </is>
      </c>
      <c r="B26" s="37" t="inlineStr">
        <is>
          <t>Se marca "Sí" en la columna G si la consulta tuvo que pasarse a otra persona o área para completarse. Una consulta derivada no cuenta como resuelta para el NCA.</t>
        </is>
      </c>
    </row>
    <row r="27">
      <c r="A27" s="36" t="inlineStr">
        <is>
          <t>Aviso previo (ausentismo):</t>
        </is>
      </c>
      <c r="B27" s="37" t="inlineStr">
        <is>
          <t>Si el paciente avisó antes de la fecha, la cita se registra como "Cancelada" o "Reprogramada" y no entra al cálculo. "No asistió" se usa solo para inasistencias sin aviso.</t>
        </is>
      </c>
    </row>
    <row r="28">
      <c r="A28" s="36" t="inlineStr">
        <is>
          <t>Sesiones sin eventos:</t>
        </is>
      </c>
      <c r="B28" s="37" t="inlineStr">
        <is>
          <t>Si una sesión no tiene eventos de un indicador, su valor queda vacío y el par se marca como no válido en la hoja Sesiones; se excluye del contraste y se informa el número de pares válidos.</t>
        </is>
      </c>
    </row>
    <row r="29">
      <c r="A29" s="36" t="inlineStr">
        <is>
          <t>Emparejamiento de sesiones:</t>
        </is>
      </c>
      <c r="B29" s="37" t="inlineStr">
        <is>
          <t>Por día de la semana y orden de aparición (1.er lunes PRE con 1.er lunes POST, etc.). Pares 1 a 12 con el mismo día; el par 13 une las últimas sesiones (lun 31/08 – mié 30/09) y se excluye en el análisis de sensibilidad. Ver columna S de la hoja Sesiones.</t>
        </is>
      </c>
    </row>
    <row r="30">
      <c r="A30" s="36" t="inlineStr">
        <is>
          <t>Variable independiente:</t>
        </is>
      </c>
      <c r="B30" s="37" t="inlineStr">
        <is>
          <t>Registrar en la hoja Verificacion_VI la verificación de cada módulo del sistema antes de iniciar el postest.</t>
        </is>
      </c>
    </row>
    <row r="31">
      <c r="A31" s="36" t="inlineStr">
        <is>
          <t>Control de calidad:</t>
        </is>
      </c>
      <c r="B31" s="65" t="inlineStr">
        <is>
          <t>Columna "Control de calidad" en cada hoja de registro y resumen en la hoja Control_Calidad. Consentimientos y bitácora en sus hojas respectivas.</t>
        </is>
      </c>
    </row>
    <row r="32">
      <c r="A32" s="36" t="inlineStr">
        <is>
          <t>Exportación a SPSS:</t>
        </is>
      </c>
      <c r="B32" t="inlineStr">
        <is>
          <t>La hoja SPSS_Pares arma automáticamente los 13 pares para el archivo Analisis_SPSS.sps.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8" customWidth="1" style="26" min="2" max="3"/>
    <col width="12" customWidth="1" style="26" min="4" max="4"/>
    <col width="20" customWidth="1" style="26" min="5" max="5"/>
  </cols>
  <sheetData>
    <row r="1" ht="27.75" customHeight="1" s="27">
      <c r="A1" s="38" t="inlineStr">
        <is>
          <t>Código</t>
        </is>
      </c>
      <c r="B1" s="38" t="inlineStr">
        <is>
          <t>Edad</t>
        </is>
      </c>
      <c r="C1" s="38" t="inlineStr">
        <is>
          <t>Sexo</t>
        </is>
      </c>
      <c r="D1" s="38" t="inlineStr">
        <is>
          <t>Estado</t>
        </is>
      </c>
      <c r="E1" s="38" t="inlineStr">
        <is>
          <t>Participó en la muestra original (30)</t>
        </is>
      </c>
    </row>
    <row r="2" ht="15" customHeight="1" s="27">
      <c r="A2" s="39" t="inlineStr">
        <is>
          <t>PAC-01</t>
        </is>
      </c>
      <c r="B2" s="40" t="n"/>
      <c r="C2" s="40" t="n"/>
      <c r="D2" s="40" t="n"/>
      <c r="E2" s="39" t="inlineStr">
        <is>
          <t>Sí</t>
        </is>
      </c>
    </row>
    <row r="3" ht="15" customHeight="1" s="27">
      <c r="A3" s="39" t="inlineStr">
        <is>
          <t>PAC-02</t>
        </is>
      </c>
      <c r="B3" s="40" t="n"/>
      <c r="C3" s="40" t="n"/>
      <c r="D3" s="40" t="n"/>
      <c r="E3" s="39" t="inlineStr">
        <is>
          <t>Sí</t>
        </is>
      </c>
    </row>
    <row r="4" ht="15" customHeight="1" s="27">
      <c r="A4" s="39" t="inlineStr">
        <is>
          <t>PAC-03</t>
        </is>
      </c>
      <c r="B4" s="40" t="n"/>
      <c r="C4" s="40" t="n"/>
      <c r="D4" s="40" t="n"/>
      <c r="E4" s="39" t="inlineStr">
        <is>
          <t>Sí</t>
        </is>
      </c>
    </row>
    <row r="5" ht="15" customHeight="1" s="27">
      <c r="A5" s="39" t="inlineStr">
        <is>
          <t>PAC-04</t>
        </is>
      </c>
      <c r="B5" s="40" t="n"/>
      <c r="C5" s="40" t="n"/>
      <c r="D5" s="40" t="n"/>
      <c r="E5" s="39" t="inlineStr">
        <is>
          <t>Sí</t>
        </is>
      </c>
    </row>
    <row r="6" ht="15" customHeight="1" s="27">
      <c r="A6" s="39" t="inlineStr">
        <is>
          <t>PAC-05</t>
        </is>
      </c>
      <c r="B6" s="40" t="n"/>
      <c r="C6" s="40" t="n"/>
      <c r="D6" s="40" t="n"/>
      <c r="E6" s="39" t="inlineStr">
        <is>
          <t>Sí</t>
        </is>
      </c>
    </row>
    <row r="7" ht="15" customHeight="1" s="27">
      <c r="A7" s="39" t="inlineStr">
        <is>
          <t>PAC-06</t>
        </is>
      </c>
      <c r="B7" s="40" t="n"/>
      <c r="C7" s="40" t="n"/>
      <c r="D7" s="40" t="n"/>
      <c r="E7" s="39" t="inlineStr">
        <is>
          <t>Sí</t>
        </is>
      </c>
    </row>
    <row r="8" ht="15" customHeight="1" s="27">
      <c r="A8" s="39" t="inlineStr">
        <is>
          <t>PAC-07</t>
        </is>
      </c>
      <c r="B8" s="40" t="n"/>
      <c r="C8" s="40" t="n"/>
      <c r="D8" s="40" t="n"/>
      <c r="E8" s="39" t="inlineStr">
        <is>
          <t>Sí</t>
        </is>
      </c>
    </row>
    <row r="9" ht="15" customHeight="1" s="27">
      <c r="A9" s="39" t="inlineStr">
        <is>
          <t>PAC-08</t>
        </is>
      </c>
      <c r="B9" s="40" t="n"/>
      <c r="C9" s="40" t="n"/>
      <c r="D9" s="40" t="n"/>
      <c r="E9" s="39" t="inlineStr">
        <is>
          <t>Sí</t>
        </is>
      </c>
    </row>
    <row r="10" ht="15" customHeight="1" s="27">
      <c r="A10" s="39" t="inlineStr">
        <is>
          <t>PAC-09</t>
        </is>
      </c>
      <c r="B10" s="40" t="n"/>
      <c r="C10" s="40" t="n"/>
      <c r="D10" s="40" t="n"/>
      <c r="E10" s="39" t="inlineStr">
        <is>
          <t>Sí</t>
        </is>
      </c>
    </row>
    <row r="11" ht="15" customHeight="1" s="27">
      <c r="A11" s="39" t="inlineStr">
        <is>
          <t>PAC-10</t>
        </is>
      </c>
      <c r="B11" s="40" t="n"/>
      <c r="C11" s="40" t="n"/>
      <c r="D11" s="40" t="n"/>
      <c r="E11" s="39" t="inlineStr">
        <is>
          <t>Sí</t>
        </is>
      </c>
    </row>
    <row r="12" ht="15" customHeight="1" s="27">
      <c r="A12" s="39" t="inlineStr">
        <is>
          <t>PAC-11</t>
        </is>
      </c>
      <c r="B12" s="40" t="n"/>
      <c r="C12" s="40" t="n"/>
      <c r="D12" s="40" t="n"/>
      <c r="E12" s="39" t="inlineStr">
        <is>
          <t>Sí</t>
        </is>
      </c>
    </row>
    <row r="13" ht="15" customHeight="1" s="27">
      <c r="A13" s="39" t="inlineStr">
        <is>
          <t>PAC-12</t>
        </is>
      </c>
      <c r="B13" s="40" t="n"/>
      <c r="C13" s="40" t="n"/>
      <c r="D13" s="40" t="n"/>
      <c r="E13" s="39" t="inlineStr">
        <is>
          <t>Sí</t>
        </is>
      </c>
    </row>
    <row r="14" ht="15" customHeight="1" s="27">
      <c r="A14" s="39" t="inlineStr">
        <is>
          <t>PAC-13</t>
        </is>
      </c>
      <c r="B14" s="40" t="n"/>
      <c r="C14" s="40" t="n"/>
      <c r="D14" s="40" t="n"/>
      <c r="E14" s="39" t="inlineStr">
        <is>
          <t>Sí</t>
        </is>
      </c>
    </row>
    <row r="15" ht="15" customHeight="1" s="27">
      <c r="A15" s="39" t="inlineStr">
        <is>
          <t>PAC-14</t>
        </is>
      </c>
      <c r="B15" s="40" t="n"/>
      <c r="C15" s="40" t="n"/>
      <c r="D15" s="40" t="n"/>
      <c r="E15" s="39" t="inlineStr">
        <is>
          <t>Sí</t>
        </is>
      </c>
    </row>
    <row r="16" ht="15" customHeight="1" s="27">
      <c r="A16" s="39" t="inlineStr">
        <is>
          <t>PAC-15</t>
        </is>
      </c>
      <c r="B16" s="40" t="n"/>
      <c r="C16" s="40" t="n"/>
      <c r="D16" s="40" t="n"/>
      <c r="E16" s="39" t="inlineStr">
        <is>
          <t>Sí</t>
        </is>
      </c>
    </row>
    <row r="17" ht="15" customHeight="1" s="27">
      <c r="A17" s="39" t="inlineStr">
        <is>
          <t>PAC-16</t>
        </is>
      </c>
      <c r="B17" s="40" t="n"/>
      <c r="C17" s="40" t="n"/>
      <c r="D17" s="40" t="n"/>
      <c r="E17" s="39" t="inlineStr">
        <is>
          <t>Sí</t>
        </is>
      </c>
    </row>
    <row r="18" ht="15" customHeight="1" s="27">
      <c r="A18" s="39" t="inlineStr">
        <is>
          <t>PAC-17</t>
        </is>
      </c>
      <c r="B18" s="40" t="n"/>
      <c r="C18" s="40" t="n"/>
      <c r="D18" s="40" t="n"/>
      <c r="E18" s="39" t="inlineStr">
        <is>
          <t>Sí</t>
        </is>
      </c>
    </row>
    <row r="19" ht="15" customHeight="1" s="27">
      <c r="A19" s="39" t="inlineStr">
        <is>
          <t>PAC-18</t>
        </is>
      </c>
      <c r="B19" s="40" t="n"/>
      <c r="C19" s="40" t="n"/>
      <c r="D19" s="40" t="n"/>
      <c r="E19" s="39" t="inlineStr">
        <is>
          <t>Sí</t>
        </is>
      </c>
    </row>
    <row r="20" ht="15" customHeight="1" s="27">
      <c r="A20" s="39" t="inlineStr">
        <is>
          <t>PAC-19</t>
        </is>
      </c>
      <c r="B20" s="40" t="n"/>
      <c r="C20" s="40" t="n"/>
      <c r="D20" s="40" t="n"/>
      <c r="E20" s="39" t="inlineStr">
        <is>
          <t>Sí</t>
        </is>
      </c>
    </row>
    <row r="21" ht="15" customHeight="1" s="27">
      <c r="A21" s="39" t="inlineStr">
        <is>
          <t>PAC-20</t>
        </is>
      </c>
      <c r="B21" s="40" t="n"/>
      <c r="C21" s="40" t="n"/>
      <c r="D21" s="40" t="n"/>
      <c r="E21" s="39" t="inlineStr">
        <is>
          <t>Sí</t>
        </is>
      </c>
    </row>
    <row r="22" ht="15" customHeight="1" s="27">
      <c r="A22" s="39" t="inlineStr">
        <is>
          <t>PAC-21</t>
        </is>
      </c>
      <c r="B22" s="40" t="n"/>
      <c r="C22" s="40" t="n"/>
      <c r="D22" s="40" t="n"/>
      <c r="E22" s="39" t="inlineStr">
        <is>
          <t>Sí</t>
        </is>
      </c>
    </row>
    <row r="23" ht="15" customHeight="1" s="27">
      <c r="A23" s="39" t="inlineStr">
        <is>
          <t>PAC-22</t>
        </is>
      </c>
      <c r="B23" s="40" t="n"/>
      <c r="C23" s="40" t="n"/>
      <c r="D23" s="40" t="n"/>
      <c r="E23" s="39" t="inlineStr">
        <is>
          <t>Sí</t>
        </is>
      </c>
    </row>
    <row r="24" ht="15" customHeight="1" s="27">
      <c r="A24" s="39" t="inlineStr">
        <is>
          <t>PAC-23</t>
        </is>
      </c>
      <c r="B24" s="40" t="n"/>
      <c r="C24" s="40" t="n"/>
      <c r="D24" s="40" t="n"/>
      <c r="E24" s="39" t="inlineStr">
        <is>
          <t>Sí</t>
        </is>
      </c>
    </row>
    <row r="25" ht="15" customHeight="1" s="27">
      <c r="A25" s="39" t="inlineStr">
        <is>
          <t>PAC-24</t>
        </is>
      </c>
      <c r="B25" s="40" t="n"/>
      <c r="C25" s="40" t="n"/>
      <c r="D25" s="40" t="n"/>
      <c r="E25" s="39" t="inlineStr">
        <is>
          <t>Sí</t>
        </is>
      </c>
    </row>
    <row r="26" ht="15" customHeight="1" s="27">
      <c r="A26" s="39" t="inlineStr">
        <is>
          <t>PAC-25</t>
        </is>
      </c>
      <c r="B26" s="40" t="n"/>
      <c r="C26" s="40" t="n"/>
      <c r="D26" s="40" t="n"/>
      <c r="E26" s="39" t="inlineStr">
        <is>
          <t>Sí</t>
        </is>
      </c>
    </row>
    <row r="27" ht="15" customHeight="1" s="27">
      <c r="A27" s="39" t="inlineStr">
        <is>
          <t>PAC-26</t>
        </is>
      </c>
      <c r="B27" s="40" t="n"/>
      <c r="C27" s="40" t="n"/>
      <c r="D27" s="40" t="n"/>
      <c r="E27" s="39" t="inlineStr">
        <is>
          <t>Sí</t>
        </is>
      </c>
    </row>
    <row r="28" ht="15" customHeight="1" s="27">
      <c r="A28" s="39" t="inlineStr">
        <is>
          <t>PAC-27</t>
        </is>
      </c>
      <c r="B28" s="40" t="n"/>
      <c r="C28" s="40" t="n"/>
      <c r="D28" s="40" t="n"/>
      <c r="E28" s="39" t="inlineStr">
        <is>
          <t>Sí</t>
        </is>
      </c>
    </row>
    <row r="29" ht="15" customHeight="1" s="27">
      <c r="A29" s="39" t="inlineStr">
        <is>
          <t>PAC-28</t>
        </is>
      </c>
      <c r="B29" s="40" t="n"/>
      <c r="C29" s="40" t="n"/>
      <c r="D29" s="40" t="n"/>
      <c r="E29" s="39" t="inlineStr">
        <is>
          <t>Sí</t>
        </is>
      </c>
    </row>
    <row r="30" ht="15" customHeight="1" s="27">
      <c r="A30" s="39" t="inlineStr">
        <is>
          <t>PAC-29</t>
        </is>
      </c>
      <c r="B30" s="40" t="n"/>
      <c r="C30" s="40" t="n"/>
      <c r="D30" s="40" t="n"/>
      <c r="E30" s="39" t="inlineStr">
        <is>
          <t>Sí</t>
        </is>
      </c>
    </row>
    <row r="31" ht="15" customHeight="1" s="27">
      <c r="A31" s="39" t="inlineStr">
        <is>
          <t>PAC-30</t>
        </is>
      </c>
      <c r="B31" s="40" t="n"/>
      <c r="C31" s="40" t="n"/>
      <c r="D31" s="40" t="n"/>
      <c r="E31" s="39" t="inlineStr">
        <is>
          <t>Sí</t>
        </is>
      </c>
    </row>
    <row r="32" ht="15" customHeight="1" s="27">
      <c r="A32" s="40" t="n"/>
      <c r="B32" s="40" t="n"/>
      <c r="C32" s="40" t="n"/>
      <c r="D32" s="40" t="n"/>
      <c r="E32" s="41" t="inlineStr">
        <is>
          <t>No (nuevo)</t>
        </is>
      </c>
    </row>
    <row r="33" ht="15" customHeight="1" s="27">
      <c r="A33" s="40" t="n"/>
      <c r="B33" s="40" t="n"/>
      <c r="C33" s="40" t="n"/>
      <c r="D33" s="40" t="n"/>
      <c r="E33" s="41" t="inlineStr">
        <is>
          <t>No (nuevo)</t>
        </is>
      </c>
    </row>
    <row r="34" ht="15" customHeight="1" s="27">
      <c r="A34" s="40" t="n"/>
      <c r="B34" s="40" t="n"/>
      <c r="C34" s="40" t="n"/>
      <c r="D34" s="40" t="n"/>
      <c r="E34" s="41" t="inlineStr">
        <is>
          <t>No (nuevo)</t>
        </is>
      </c>
    </row>
    <row r="35" ht="15" customHeight="1" s="27">
      <c r="A35" s="40" t="n"/>
      <c r="B35" s="40" t="n"/>
      <c r="C35" s="40" t="n"/>
      <c r="D35" s="40" t="n"/>
      <c r="E35" s="41" t="inlineStr">
        <is>
          <t>No (nuevo)</t>
        </is>
      </c>
    </row>
    <row r="36" ht="15" customHeight="1" s="27">
      <c r="A36" s="40" t="n"/>
      <c r="B36" s="40" t="n"/>
      <c r="C36" s="40" t="n"/>
      <c r="D36" s="40" t="n"/>
      <c r="E36" s="41" t="inlineStr">
        <is>
          <t>No (nuevo)</t>
        </is>
      </c>
    </row>
    <row r="37" ht="15" customHeight="1" s="27">
      <c r="A37" s="40" t="n"/>
      <c r="B37" s="40" t="n"/>
      <c r="C37" s="40" t="n"/>
      <c r="D37" s="40" t="n"/>
      <c r="E37" s="41" t="inlineStr">
        <is>
          <t>No (nuevo)</t>
        </is>
      </c>
    </row>
    <row r="38" ht="15" customHeight="1" s="27">
      <c r="A38" s="40" t="n"/>
      <c r="B38" s="40" t="n"/>
      <c r="C38" s="40" t="n"/>
      <c r="D38" s="40" t="n"/>
      <c r="E38" s="41" t="inlineStr">
        <is>
          <t>No (nuevo)</t>
        </is>
      </c>
    </row>
    <row r="39" ht="15" customHeight="1" s="27">
      <c r="A39" s="40" t="n"/>
      <c r="B39" s="40" t="n"/>
      <c r="C39" s="40" t="n"/>
      <c r="D39" s="40" t="n"/>
      <c r="E39" s="41" t="inlineStr">
        <is>
          <t>No (nuevo)</t>
        </is>
      </c>
    </row>
    <row r="40" ht="15" customHeight="1" s="27">
      <c r="A40" s="40" t="n"/>
      <c r="B40" s="40" t="n"/>
      <c r="C40" s="40" t="n"/>
      <c r="D40" s="40" t="n"/>
      <c r="E40" s="41" t="inlineStr">
        <is>
          <t>No (nuevo)</t>
        </is>
      </c>
    </row>
    <row r="41" ht="15" customHeight="1" s="27">
      <c r="A41" s="40" t="n"/>
      <c r="B41" s="40" t="n"/>
      <c r="C41" s="40" t="n"/>
      <c r="D41" s="40" t="n"/>
      <c r="E41" s="41" t="inlineStr">
        <is>
          <t>No (nuevo)</t>
        </is>
      </c>
    </row>
    <row r="42" ht="15" customHeight="1" s="27">
      <c r="A42" s="40" t="n"/>
      <c r="B42" s="40" t="n"/>
      <c r="C42" s="40" t="n"/>
      <c r="D42" s="40" t="n"/>
      <c r="E42" s="41" t="inlineStr">
        <is>
          <t>No (nuevo)</t>
        </is>
      </c>
    </row>
    <row r="43" ht="15" customHeight="1" s="27">
      <c r="A43" s="40" t="n"/>
      <c r="B43" s="40" t="n"/>
      <c r="C43" s="40" t="n"/>
      <c r="D43" s="40" t="n"/>
      <c r="E43" s="41" t="inlineStr">
        <is>
          <t>No (nuevo)</t>
        </is>
      </c>
    </row>
    <row r="44" ht="15" customHeight="1" s="27">
      <c r="A44" s="40" t="n"/>
      <c r="B44" s="40" t="n"/>
      <c r="C44" s="40" t="n"/>
      <c r="D44" s="40" t="n"/>
      <c r="E44" s="41" t="inlineStr">
        <is>
          <t>No (nuevo)</t>
        </is>
      </c>
    </row>
    <row r="45" ht="15" customHeight="1" s="27">
      <c r="A45" s="40" t="n"/>
      <c r="B45" s="40" t="n"/>
      <c r="C45" s="40" t="n"/>
      <c r="D45" s="40" t="n"/>
      <c r="E45" s="41" t="inlineStr">
        <is>
          <t>No (nuevo)</t>
        </is>
      </c>
    </row>
    <row r="46" ht="15" customHeight="1" s="27">
      <c r="A46" s="40" t="n"/>
      <c r="B46" s="40" t="n"/>
      <c r="C46" s="40" t="n"/>
      <c r="D46" s="40" t="n"/>
      <c r="E46" s="41" t="inlineStr">
        <is>
          <t>No (nuevo)</t>
        </is>
      </c>
    </row>
  </sheetData>
  <dataValidations count="2">
    <dataValidation sqref="C2:C46" showDropDown="0" showInputMessage="0" showErrorMessage="0" allowBlank="1" type="list" errorStyle="stop" operator="between">
      <formula1>Listas!$G$2:$G$3</formula1>
      <formula2>0</formula2>
    </dataValidation>
    <dataValidation sqref="D2:D46" showDropDown="0" showInputMessage="0" showErrorMessage="0" allowBlank="1" type="list" errorStyle="stop" operator="between">
      <formula1>Listas!$H$2:$H$3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14" customWidth="1" style="27" min="5" max="5"/>
    <col width="40" customWidth="1" style="27" min="6" max="6"/>
    <col width="34" customWidth="1" style="27" min="7" max="7"/>
  </cols>
  <sheetData>
    <row r="1">
      <c r="A1" s="66" t="inlineStr">
        <is>
          <t>Código del paciente</t>
        </is>
      </c>
      <c r="B1" s="66" t="inlineStr">
        <is>
          <t>Firmó el consentimiento</t>
        </is>
      </c>
      <c r="C1" s="66" t="inlineStr">
        <is>
          <t>Fecha de firma</t>
        </is>
      </c>
      <c r="D1" s="66" t="inlineStr">
        <is>
          <t>Retiró su consentimiento</t>
        </is>
      </c>
      <c r="E1" s="66" t="inlineStr">
        <is>
          <t>Fecha de retiro</t>
        </is>
      </c>
      <c r="F1" s="66" t="inlineStr">
        <is>
          <t>Observación</t>
        </is>
      </c>
      <c r="G1" s="66" t="inlineStr">
        <is>
          <t>Control</t>
        </is>
      </c>
    </row>
    <row r="2">
      <c r="A2" s="67">
        <f>IF(Pacientes!A2="","",Pacientes!A2)</f>
        <v/>
      </c>
      <c r="B2" s="68" t="n"/>
      <c r="C2" s="69" t="n"/>
      <c r="D2" s="68" t="n"/>
      <c r="E2" s="69" t="n"/>
      <c r="F2" s="68" t="n"/>
      <c r="G2" s="67">
        <f>IF(A2="","",IF(B2&lt;&gt;"Sí","Sin consentimiento: excluir sus registros",IF(C2="","Falta fecha de firma",IF(C2&gt;DATE(2026,8,3),"Firmado después del inicio del pretest (declarar)",IF(D2="Sí","Retirado: excluir desde la fecha de retiro","OK")))))</f>
        <v/>
      </c>
    </row>
    <row r="3">
      <c r="A3" s="67">
        <f>IF(Pacientes!A3="","",Pacientes!A3)</f>
        <v/>
      </c>
      <c r="B3" s="68" t="n"/>
      <c r="C3" s="69" t="n"/>
      <c r="D3" s="68" t="n"/>
      <c r="E3" s="69" t="n"/>
      <c r="F3" s="68" t="n"/>
      <c r="G3" s="67">
        <f>IF(A3="","",IF(B3&lt;&gt;"Sí","Sin consentimiento: excluir sus registros",IF(C3="","Falta fecha de firma",IF(C3&gt;DATE(2026,8,3),"Firmado después del inicio del pretest (declarar)",IF(D3="Sí","Retirado: excluir desde la fecha de retiro","OK")))))</f>
        <v/>
      </c>
    </row>
    <row r="4">
      <c r="A4" s="67">
        <f>IF(Pacientes!A4="","",Pacientes!A4)</f>
        <v/>
      </c>
      <c r="B4" s="68" t="n"/>
      <c r="C4" s="69" t="n"/>
      <c r="D4" s="68" t="n"/>
      <c r="E4" s="69" t="n"/>
      <c r="F4" s="68" t="n"/>
      <c r="G4" s="67">
        <f>IF(A4="","",IF(B4&lt;&gt;"Sí","Sin consentimiento: excluir sus registros",IF(C4="","Falta fecha de firma",IF(C4&gt;DATE(2026,8,3),"Firmado después del inicio del pretest (declarar)",IF(D4="Sí","Retirado: excluir desde la fecha de retiro","OK")))))</f>
        <v/>
      </c>
    </row>
    <row r="5">
      <c r="A5" s="67">
        <f>IF(Pacientes!A5="","",Pacientes!A5)</f>
        <v/>
      </c>
      <c r="B5" s="68" t="n"/>
      <c r="C5" s="69" t="n"/>
      <c r="D5" s="68" t="n"/>
      <c r="E5" s="69" t="n"/>
      <c r="F5" s="68" t="n"/>
      <c r="G5" s="67">
        <f>IF(A5="","",IF(B5&lt;&gt;"Sí","Sin consentimiento: excluir sus registros",IF(C5="","Falta fecha de firma",IF(C5&gt;DATE(2026,8,3),"Firmado después del inicio del pretest (declarar)",IF(D5="Sí","Retirado: excluir desde la fecha de retiro","OK")))))</f>
        <v/>
      </c>
    </row>
    <row r="6">
      <c r="A6" s="67">
        <f>IF(Pacientes!A6="","",Pacientes!A6)</f>
        <v/>
      </c>
      <c r="B6" s="68" t="n"/>
      <c r="C6" s="69" t="n"/>
      <c r="D6" s="68" t="n"/>
      <c r="E6" s="69" t="n"/>
      <c r="F6" s="68" t="n"/>
      <c r="G6" s="67">
        <f>IF(A6="","",IF(B6&lt;&gt;"Sí","Sin consentimiento: excluir sus registros",IF(C6="","Falta fecha de firma",IF(C6&gt;DATE(2026,8,3),"Firmado después del inicio del pretest (declarar)",IF(D6="Sí","Retirado: excluir desde la fecha de retiro","OK")))))</f>
        <v/>
      </c>
    </row>
    <row r="7">
      <c r="A7" s="67">
        <f>IF(Pacientes!A7="","",Pacientes!A7)</f>
        <v/>
      </c>
      <c r="B7" s="68" t="n"/>
      <c r="C7" s="69" t="n"/>
      <c r="D7" s="68" t="n"/>
      <c r="E7" s="69" t="n"/>
      <c r="F7" s="68" t="n"/>
      <c r="G7" s="67">
        <f>IF(A7="","",IF(B7&lt;&gt;"Sí","Sin consentimiento: excluir sus registros",IF(C7="","Falta fecha de firma",IF(C7&gt;DATE(2026,8,3),"Firmado después del inicio del pretest (declarar)",IF(D7="Sí","Retirado: excluir desde la fecha de retiro","OK")))))</f>
        <v/>
      </c>
    </row>
    <row r="8">
      <c r="A8" s="67">
        <f>IF(Pacientes!A8="","",Pacientes!A8)</f>
        <v/>
      </c>
      <c r="B8" s="68" t="n"/>
      <c r="C8" s="69" t="n"/>
      <c r="D8" s="68" t="n"/>
      <c r="E8" s="69" t="n"/>
      <c r="F8" s="68" t="n"/>
      <c r="G8" s="67">
        <f>IF(A8="","",IF(B8&lt;&gt;"Sí","Sin consentimiento: excluir sus registros",IF(C8="","Falta fecha de firma",IF(C8&gt;DATE(2026,8,3),"Firmado después del inicio del pretest (declarar)",IF(D8="Sí","Retirado: excluir desde la fecha de retiro","OK")))))</f>
        <v/>
      </c>
    </row>
    <row r="9">
      <c r="A9" s="67">
        <f>IF(Pacientes!A9="","",Pacientes!A9)</f>
        <v/>
      </c>
      <c r="B9" s="68" t="n"/>
      <c r="C9" s="69" t="n"/>
      <c r="D9" s="68" t="n"/>
      <c r="E9" s="69" t="n"/>
      <c r="F9" s="68" t="n"/>
      <c r="G9" s="67">
        <f>IF(A9="","",IF(B9&lt;&gt;"Sí","Sin consentimiento: excluir sus registros",IF(C9="","Falta fecha de firma",IF(C9&gt;DATE(2026,8,3),"Firmado después del inicio del pretest (declarar)",IF(D9="Sí","Retirado: excluir desde la fecha de retiro","OK")))))</f>
        <v/>
      </c>
    </row>
    <row r="10">
      <c r="A10" s="67">
        <f>IF(Pacientes!A10="","",Pacientes!A10)</f>
        <v/>
      </c>
      <c r="B10" s="68" t="n"/>
      <c r="C10" s="69" t="n"/>
      <c r="D10" s="68" t="n"/>
      <c r="E10" s="69" t="n"/>
      <c r="F10" s="68" t="n"/>
      <c r="G10" s="67">
        <f>IF(A10="","",IF(B10&lt;&gt;"Sí","Sin consentimiento: excluir sus registros",IF(C10="","Falta fecha de firma",IF(C10&gt;DATE(2026,8,3),"Firmado después del inicio del pretest (declarar)",IF(D10="Sí","Retirado: excluir desde la fecha de retiro","OK")))))</f>
        <v/>
      </c>
    </row>
    <row r="11">
      <c r="A11" s="67">
        <f>IF(Pacientes!A11="","",Pacientes!A11)</f>
        <v/>
      </c>
      <c r="B11" s="68" t="n"/>
      <c r="C11" s="69" t="n"/>
      <c r="D11" s="68" t="n"/>
      <c r="E11" s="69" t="n"/>
      <c r="F11" s="68" t="n"/>
      <c r="G11" s="67">
        <f>IF(A11="","",IF(B11&lt;&gt;"Sí","Sin consentimiento: excluir sus registros",IF(C11="","Falta fecha de firma",IF(C11&gt;DATE(2026,8,3),"Firmado después del inicio del pretest (declarar)",IF(D11="Sí","Retirado: excluir desde la fecha de retiro","OK")))))</f>
        <v/>
      </c>
    </row>
    <row r="12">
      <c r="A12" s="67">
        <f>IF(Pacientes!A12="","",Pacientes!A12)</f>
        <v/>
      </c>
      <c r="B12" s="68" t="n"/>
      <c r="C12" s="69" t="n"/>
      <c r="D12" s="68" t="n"/>
      <c r="E12" s="69" t="n"/>
      <c r="F12" s="68" t="n"/>
      <c r="G12" s="67">
        <f>IF(A12="","",IF(B12&lt;&gt;"Sí","Sin consentimiento: excluir sus registros",IF(C12="","Falta fecha de firma",IF(C12&gt;DATE(2026,8,3),"Firmado después del inicio del pretest (declarar)",IF(D12="Sí","Retirado: excluir desde la fecha de retiro","OK")))))</f>
        <v/>
      </c>
    </row>
    <row r="13">
      <c r="A13" s="67">
        <f>IF(Pacientes!A13="","",Pacientes!A13)</f>
        <v/>
      </c>
      <c r="B13" s="68" t="n"/>
      <c r="C13" s="69" t="n"/>
      <c r="D13" s="68" t="n"/>
      <c r="E13" s="69" t="n"/>
      <c r="F13" s="68" t="n"/>
      <c r="G13" s="67">
        <f>IF(A13="","",IF(B13&lt;&gt;"Sí","Sin consentimiento: excluir sus registros",IF(C13="","Falta fecha de firma",IF(C13&gt;DATE(2026,8,3),"Firmado después del inicio del pretest (declarar)",IF(D13="Sí","Retirado: excluir desde la fecha de retiro","OK")))))</f>
        <v/>
      </c>
    </row>
    <row r="14">
      <c r="A14" s="67">
        <f>IF(Pacientes!A14="","",Pacientes!A14)</f>
        <v/>
      </c>
      <c r="B14" s="68" t="n"/>
      <c r="C14" s="69" t="n"/>
      <c r="D14" s="68" t="n"/>
      <c r="E14" s="69" t="n"/>
      <c r="F14" s="68" t="n"/>
      <c r="G14" s="67">
        <f>IF(A14="","",IF(B14&lt;&gt;"Sí","Sin consentimiento: excluir sus registros",IF(C14="","Falta fecha de firma",IF(C14&gt;DATE(2026,8,3),"Firmado después del inicio del pretest (declarar)",IF(D14="Sí","Retirado: excluir desde la fecha de retiro","OK")))))</f>
        <v/>
      </c>
    </row>
    <row r="15">
      <c r="A15" s="67">
        <f>IF(Pacientes!A15="","",Pacientes!A15)</f>
        <v/>
      </c>
      <c r="B15" s="68" t="n"/>
      <c r="C15" s="69" t="n"/>
      <c r="D15" s="68" t="n"/>
      <c r="E15" s="69" t="n"/>
      <c r="F15" s="68" t="n"/>
      <c r="G15" s="67">
        <f>IF(A15="","",IF(B15&lt;&gt;"Sí","Sin consentimiento: excluir sus registros",IF(C15="","Falta fecha de firma",IF(C15&gt;DATE(2026,8,3),"Firmado después del inicio del pretest (declarar)",IF(D15="Sí","Retirado: excluir desde la fecha de retiro","OK")))))</f>
        <v/>
      </c>
    </row>
    <row r="16">
      <c r="A16" s="67">
        <f>IF(Pacientes!A16="","",Pacientes!A16)</f>
        <v/>
      </c>
      <c r="B16" s="68" t="n"/>
      <c r="C16" s="69" t="n"/>
      <c r="D16" s="68" t="n"/>
      <c r="E16" s="69" t="n"/>
      <c r="F16" s="68" t="n"/>
      <c r="G16" s="67">
        <f>IF(A16="","",IF(B16&lt;&gt;"Sí","Sin consentimiento: excluir sus registros",IF(C16="","Falta fecha de firma",IF(C16&gt;DATE(2026,8,3),"Firmado después del inicio del pretest (declarar)",IF(D16="Sí","Retirado: excluir desde la fecha de retiro","OK")))))</f>
        <v/>
      </c>
    </row>
    <row r="17">
      <c r="A17" s="67">
        <f>IF(Pacientes!A17="","",Pacientes!A17)</f>
        <v/>
      </c>
      <c r="B17" s="68" t="n"/>
      <c r="C17" s="69" t="n"/>
      <c r="D17" s="68" t="n"/>
      <c r="E17" s="69" t="n"/>
      <c r="F17" s="68" t="n"/>
      <c r="G17" s="67">
        <f>IF(A17="","",IF(B17&lt;&gt;"Sí","Sin consentimiento: excluir sus registros",IF(C17="","Falta fecha de firma",IF(C17&gt;DATE(2026,8,3),"Firmado después del inicio del pretest (declarar)",IF(D17="Sí","Retirado: excluir desde la fecha de retiro","OK")))))</f>
        <v/>
      </c>
    </row>
    <row r="18">
      <c r="A18" s="67">
        <f>IF(Pacientes!A18="","",Pacientes!A18)</f>
        <v/>
      </c>
      <c r="B18" s="68" t="n"/>
      <c r="C18" s="69" t="n"/>
      <c r="D18" s="68" t="n"/>
      <c r="E18" s="69" t="n"/>
      <c r="F18" s="68" t="n"/>
      <c r="G18" s="67">
        <f>IF(A18="","",IF(B18&lt;&gt;"Sí","Sin consentimiento: excluir sus registros",IF(C18="","Falta fecha de firma",IF(C18&gt;DATE(2026,8,3),"Firmado después del inicio del pretest (declarar)",IF(D18="Sí","Retirado: excluir desde la fecha de retiro","OK")))))</f>
        <v/>
      </c>
    </row>
    <row r="19">
      <c r="A19" s="67">
        <f>IF(Pacientes!A19="","",Pacientes!A19)</f>
        <v/>
      </c>
      <c r="B19" s="68" t="n"/>
      <c r="C19" s="69" t="n"/>
      <c r="D19" s="68" t="n"/>
      <c r="E19" s="69" t="n"/>
      <c r="F19" s="68" t="n"/>
      <c r="G19" s="67">
        <f>IF(A19="","",IF(B19&lt;&gt;"Sí","Sin consentimiento: excluir sus registros",IF(C19="","Falta fecha de firma",IF(C19&gt;DATE(2026,8,3),"Firmado después del inicio del pretest (declarar)",IF(D19="Sí","Retirado: excluir desde la fecha de retiro","OK")))))</f>
        <v/>
      </c>
    </row>
    <row r="20">
      <c r="A20" s="67">
        <f>IF(Pacientes!A20="","",Pacientes!A20)</f>
        <v/>
      </c>
      <c r="B20" s="68" t="n"/>
      <c r="C20" s="69" t="n"/>
      <c r="D20" s="68" t="n"/>
      <c r="E20" s="69" t="n"/>
      <c r="F20" s="68" t="n"/>
      <c r="G20" s="67">
        <f>IF(A20="","",IF(B20&lt;&gt;"Sí","Sin consentimiento: excluir sus registros",IF(C20="","Falta fecha de firma",IF(C20&gt;DATE(2026,8,3),"Firmado después del inicio del pretest (declarar)",IF(D20="Sí","Retirado: excluir desde la fecha de retiro","OK")))))</f>
        <v/>
      </c>
    </row>
    <row r="21">
      <c r="A21" s="67">
        <f>IF(Pacientes!A21="","",Pacientes!A21)</f>
        <v/>
      </c>
      <c r="B21" s="68" t="n"/>
      <c r="C21" s="69" t="n"/>
      <c r="D21" s="68" t="n"/>
      <c r="E21" s="69" t="n"/>
      <c r="F21" s="68" t="n"/>
      <c r="G21" s="67">
        <f>IF(A21="","",IF(B21&lt;&gt;"Sí","Sin consentimiento: excluir sus registros",IF(C21="","Falta fecha de firma",IF(C21&gt;DATE(2026,8,3),"Firmado después del inicio del pretest (declarar)",IF(D21="Sí","Retirado: excluir desde la fecha de retiro","OK")))))</f>
        <v/>
      </c>
    </row>
    <row r="22">
      <c r="A22" s="67">
        <f>IF(Pacientes!A22="","",Pacientes!A22)</f>
        <v/>
      </c>
      <c r="B22" s="68" t="n"/>
      <c r="C22" s="69" t="n"/>
      <c r="D22" s="68" t="n"/>
      <c r="E22" s="69" t="n"/>
      <c r="F22" s="68" t="n"/>
      <c r="G22" s="67">
        <f>IF(A22="","",IF(B22&lt;&gt;"Sí","Sin consentimiento: excluir sus registros",IF(C22="","Falta fecha de firma",IF(C22&gt;DATE(2026,8,3),"Firmado después del inicio del pretest (declarar)",IF(D22="Sí","Retirado: excluir desde la fecha de retiro","OK")))))</f>
        <v/>
      </c>
    </row>
    <row r="23">
      <c r="A23" s="67">
        <f>IF(Pacientes!A23="","",Pacientes!A23)</f>
        <v/>
      </c>
      <c r="B23" s="68" t="n"/>
      <c r="C23" s="69" t="n"/>
      <c r="D23" s="68" t="n"/>
      <c r="E23" s="69" t="n"/>
      <c r="F23" s="68" t="n"/>
      <c r="G23" s="67">
        <f>IF(A23="","",IF(B23&lt;&gt;"Sí","Sin consentimiento: excluir sus registros",IF(C23="","Falta fecha de firma",IF(C23&gt;DATE(2026,8,3),"Firmado después del inicio del pretest (declarar)",IF(D23="Sí","Retirado: excluir desde la fecha de retiro","OK")))))</f>
        <v/>
      </c>
    </row>
    <row r="24">
      <c r="A24" s="67">
        <f>IF(Pacientes!A24="","",Pacientes!A24)</f>
        <v/>
      </c>
      <c r="B24" s="68" t="n"/>
      <c r="C24" s="69" t="n"/>
      <c r="D24" s="68" t="n"/>
      <c r="E24" s="69" t="n"/>
      <c r="F24" s="68" t="n"/>
      <c r="G24" s="67">
        <f>IF(A24="","",IF(B24&lt;&gt;"Sí","Sin consentimiento: excluir sus registros",IF(C24="","Falta fecha de firma",IF(C24&gt;DATE(2026,8,3),"Firmado después del inicio del pretest (declarar)",IF(D24="Sí","Retirado: excluir desde la fecha de retiro","OK")))))</f>
        <v/>
      </c>
    </row>
    <row r="25">
      <c r="A25" s="67">
        <f>IF(Pacientes!A25="","",Pacientes!A25)</f>
        <v/>
      </c>
      <c r="B25" s="68" t="n"/>
      <c r="C25" s="69" t="n"/>
      <c r="D25" s="68" t="n"/>
      <c r="E25" s="69" t="n"/>
      <c r="F25" s="68" t="n"/>
      <c r="G25" s="67">
        <f>IF(A25="","",IF(B25&lt;&gt;"Sí","Sin consentimiento: excluir sus registros",IF(C25="","Falta fecha de firma",IF(C25&gt;DATE(2026,8,3),"Firmado después del inicio del pretest (declarar)",IF(D25="Sí","Retirado: excluir desde la fecha de retiro","OK")))))</f>
        <v/>
      </c>
    </row>
    <row r="26">
      <c r="A26" s="67">
        <f>IF(Pacientes!A26="","",Pacientes!A26)</f>
        <v/>
      </c>
      <c r="B26" s="68" t="n"/>
      <c r="C26" s="69" t="n"/>
      <c r="D26" s="68" t="n"/>
      <c r="E26" s="69" t="n"/>
      <c r="F26" s="68" t="n"/>
      <c r="G26" s="67">
        <f>IF(A26="","",IF(B26&lt;&gt;"Sí","Sin consentimiento: excluir sus registros",IF(C26="","Falta fecha de firma",IF(C26&gt;DATE(2026,8,3),"Firmado después del inicio del pretest (declarar)",IF(D26="Sí","Retirado: excluir desde la fecha de retiro","OK")))))</f>
        <v/>
      </c>
    </row>
    <row r="27">
      <c r="A27" s="67">
        <f>IF(Pacientes!A27="","",Pacientes!A27)</f>
        <v/>
      </c>
      <c r="B27" s="68" t="n"/>
      <c r="C27" s="69" t="n"/>
      <c r="D27" s="68" t="n"/>
      <c r="E27" s="69" t="n"/>
      <c r="F27" s="68" t="n"/>
      <c r="G27" s="67">
        <f>IF(A27="","",IF(B27&lt;&gt;"Sí","Sin consentimiento: excluir sus registros",IF(C27="","Falta fecha de firma",IF(C27&gt;DATE(2026,8,3),"Firmado después del inicio del pretest (declarar)",IF(D27="Sí","Retirado: excluir desde la fecha de retiro","OK")))))</f>
        <v/>
      </c>
    </row>
    <row r="28">
      <c r="A28" s="67">
        <f>IF(Pacientes!A28="","",Pacientes!A28)</f>
        <v/>
      </c>
      <c r="B28" s="68" t="n"/>
      <c r="C28" s="69" t="n"/>
      <c r="D28" s="68" t="n"/>
      <c r="E28" s="69" t="n"/>
      <c r="F28" s="68" t="n"/>
      <c r="G28" s="67">
        <f>IF(A28="","",IF(B28&lt;&gt;"Sí","Sin consentimiento: excluir sus registros",IF(C28="","Falta fecha de firma",IF(C28&gt;DATE(2026,8,3),"Firmado después del inicio del pretest (declarar)",IF(D28="Sí","Retirado: excluir desde la fecha de retiro","OK")))))</f>
        <v/>
      </c>
    </row>
    <row r="29">
      <c r="A29" s="67">
        <f>IF(Pacientes!A29="","",Pacientes!A29)</f>
        <v/>
      </c>
      <c r="B29" s="68" t="n"/>
      <c r="C29" s="69" t="n"/>
      <c r="D29" s="68" t="n"/>
      <c r="E29" s="69" t="n"/>
      <c r="F29" s="68" t="n"/>
      <c r="G29" s="67">
        <f>IF(A29="","",IF(B29&lt;&gt;"Sí","Sin consentimiento: excluir sus registros",IF(C29="","Falta fecha de firma",IF(C29&gt;DATE(2026,8,3),"Firmado después del inicio del pretest (declarar)",IF(D29="Sí","Retirado: excluir desde la fecha de retiro","OK")))))</f>
        <v/>
      </c>
    </row>
    <row r="30">
      <c r="A30" s="67">
        <f>IF(Pacientes!A30="","",Pacientes!A30)</f>
        <v/>
      </c>
      <c r="B30" s="68" t="n"/>
      <c r="C30" s="69" t="n"/>
      <c r="D30" s="68" t="n"/>
      <c r="E30" s="69" t="n"/>
      <c r="F30" s="68" t="n"/>
      <c r="G30" s="67">
        <f>IF(A30="","",IF(B30&lt;&gt;"Sí","Sin consentimiento: excluir sus registros",IF(C30="","Falta fecha de firma",IF(C30&gt;DATE(2026,8,3),"Firmado después del inicio del pretest (declarar)",IF(D30="Sí","Retirado: excluir desde la fecha de retiro","OK")))))</f>
        <v/>
      </c>
    </row>
    <row r="31">
      <c r="A31" s="67">
        <f>IF(Pacientes!A31="","",Pacientes!A31)</f>
        <v/>
      </c>
      <c r="B31" s="68" t="n"/>
      <c r="C31" s="69" t="n"/>
      <c r="D31" s="68" t="n"/>
      <c r="E31" s="69" t="n"/>
      <c r="F31" s="68" t="n"/>
      <c r="G31" s="67">
        <f>IF(A31="","",IF(B31&lt;&gt;"Sí","Sin consentimiento: excluir sus registros",IF(C31="","Falta fecha de firma",IF(C31&gt;DATE(2026,8,3),"Firmado después del inicio del pretest (declarar)",IF(D31="Sí","Retirado: excluir desde la fecha de retiro","OK")))))</f>
        <v/>
      </c>
    </row>
    <row r="32">
      <c r="A32" s="67">
        <f>IF(Pacientes!A32="","",Pacientes!A32)</f>
        <v/>
      </c>
      <c r="B32" s="68" t="n"/>
      <c r="C32" s="69" t="n"/>
      <c r="D32" s="68" t="n"/>
      <c r="E32" s="69" t="n"/>
      <c r="F32" s="68" t="n"/>
      <c r="G32" s="67">
        <f>IF(A32="","",IF(B32&lt;&gt;"Sí","Sin consentimiento: excluir sus registros",IF(C32="","Falta fecha de firma",IF(C32&gt;DATE(2026,8,3),"Firmado después del inicio del pretest (declarar)",IF(D32="Sí","Retirado: excluir desde la fecha de retiro","OK")))))</f>
        <v/>
      </c>
    </row>
    <row r="33">
      <c r="A33" s="67">
        <f>IF(Pacientes!A33="","",Pacientes!A33)</f>
        <v/>
      </c>
      <c r="B33" s="68" t="n"/>
      <c r="C33" s="69" t="n"/>
      <c r="D33" s="68" t="n"/>
      <c r="E33" s="69" t="n"/>
      <c r="F33" s="68" t="n"/>
      <c r="G33" s="67">
        <f>IF(A33="","",IF(B33&lt;&gt;"Sí","Sin consentimiento: excluir sus registros",IF(C33="","Falta fecha de firma",IF(C33&gt;DATE(2026,8,3),"Firmado después del inicio del pretest (declarar)",IF(D33="Sí","Retirado: excluir desde la fecha de retiro","OK")))))</f>
        <v/>
      </c>
    </row>
    <row r="34">
      <c r="A34" s="67">
        <f>IF(Pacientes!A34="","",Pacientes!A34)</f>
        <v/>
      </c>
      <c r="B34" s="68" t="n"/>
      <c r="C34" s="69" t="n"/>
      <c r="D34" s="68" t="n"/>
      <c r="E34" s="69" t="n"/>
      <c r="F34" s="68" t="n"/>
      <c r="G34" s="67">
        <f>IF(A34="","",IF(B34&lt;&gt;"Sí","Sin consentimiento: excluir sus registros",IF(C34="","Falta fecha de firma",IF(C34&gt;DATE(2026,8,3),"Firmado después del inicio del pretest (declarar)",IF(D34="Sí","Retirado: excluir desde la fecha de retiro","OK")))))</f>
        <v/>
      </c>
    </row>
    <row r="35">
      <c r="A35" s="67">
        <f>IF(Pacientes!A35="","",Pacientes!A35)</f>
        <v/>
      </c>
      <c r="B35" s="68" t="n"/>
      <c r="C35" s="69" t="n"/>
      <c r="D35" s="68" t="n"/>
      <c r="E35" s="69" t="n"/>
      <c r="F35" s="68" t="n"/>
      <c r="G35" s="67">
        <f>IF(A35="","",IF(B35&lt;&gt;"Sí","Sin consentimiento: excluir sus registros",IF(C35="","Falta fecha de firma",IF(C35&gt;DATE(2026,8,3),"Firmado después del inicio del pretest (declarar)",IF(D35="Sí","Retirado: excluir desde la fecha de retiro","OK")))))</f>
        <v/>
      </c>
    </row>
    <row r="36">
      <c r="A36" s="67">
        <f>IF(Pacientes!A36="","",Pacientes!A36)</f>
        <v/>
      </c>
      <c r="B36" s="68" t="n"/>
      <c r="C36" s="69" t="n"/>
      <c r="D36" s="68" t="n"/>
      <c r="E36" s="69" t="n"/>
      <c r="F36" s="68" t="n"/>
      <c r="G36" s="67">
        <f>IF(A36="","",IF(B36&lt;&gt;"Sí","Sin consentimiento: excluir sus registros",IF(C36="","Falta fecha de firma",IF(C36&gt;DATE(2026,8,3),"Firmado después del inicio del pretest (declarar)",IF(D36="Sí","Retirado: excluir desde la fecha de retiro","OK")))))</f>
        <v/>
      </c>
    </row>
    <row r="37">
      <c r="A37" s="67">
        <f>IF(Pacientes!A37="","",Pacientes!A37)</f>
        <v/>
      </c>
      <c r="B37" s="68" t="n"/>
      <c r="C37" s="69" t="n"/>
      <c r="D37" s="68" t="n"/>
      <c r="E37" s="69" t="n"/>
      <c r="F37" s="68" t="n"/>
      <c r="G37" s="67">
        <f>IF(A37="","",IF(B37&lt;&gt;"Sí","Sin consentimiento: excluir sus registros",IF(C37="","Falta fecha de firma",IF(C37&gt;DATE(2026,8,3),"Firmado después del inicio del pretest (declarar)",IF(D37="Sí","Retirado: excluir desde la fecha de retiro","OK")))))</f>
        <v/>
      </c>
    </row>
    <row r="38">
      <c r="A38" s="67">
        <f>IF(Pacientes!A38="","",Pacientes!A38)</f>
        <v/>
      </c>
      <c r="B38" s="68" t="n"/>
      <c r="C38" s="69" t="n"/>
      <c r="D38" s="68" t="n"/>
      <c r="E38" s="69" t="n"/>
      <c r="F38" s="68" t="n"/>
      <c r="G38" s="67">
        <f>IF(A38="","",IF(B38&lt;&gt;"Sí","Sin consentimiento: excluir sus registros",IF(C38="","Falta fecha de firma",IF(C38&gt;DATE(2026,8,3),"Firmado después del inicio del pretest (declarar)",IF(D38="Sí","Retirado: excluir desde la fecha de retiro","OK")))))</f>
        <v/>
      </c>
    </row>
    <row r="39">
      <c r="A39" s="67">
        <f>IF(Pacientes!A39="","",Pacientes!A39)</f>
        <v/>
      </c>
      <c r="B39" s="68" t="n"/>
      <c r="C39" s="69" t="n"/>
      <c r="D39" s="68" t="n"/>
      <c r="E39" s="69" t="n"/>
      <c r="F39" s="68" t="n"/>
      <c r="G39" s="67">
        <f>IF(A39="","",IF(B39&lt;&gt;"Sí","Sin consentimiento: excluir sus registros",IF(C39="","Falta fecha de firma",IF(C39&gt;DATE(2026,8,3),"Firmado después del inicio del pretest (declarar)",IF(D39="Sí","Retirado: excluir desde la fecha de retiro","OK")))))</f>
        <v/>
      </c>
    </row>
    <row r="40">
      <c r="A40" s="67">
        <f>IF(Pacientes!A40="","",Pacientes!A40)</f>
        <v/>
      </c>
      <c r="B40" s="68" t="n"/>
      <c r="C40" s="69" t="n"/>
      <c r="D40" s="68" t="n"/>
      <c r="E40" s="69" t="n"/>
      <c r="F40" s="68" t="n"/>
      <c r="G40" s="67">
        <f>IF(A40="","",IF(B40&lt;&gt;"Sí","Sin consentimiento: excluir sus registros",IF(C40="","Falta fecha de firma",IF(C40&gt;DATE(2026,8,3),"Firmado después del inicio del pretest (declarar)",IF(D40="Sí","Retirado: excluir desde la fecha de retiro","OK")))))</f>
        <v/>
      </c>
    </row>
    <row r="41">
      <c r="A41" s="67">
        <f>IF(Pacientes!A41="","",Pacientes!A41)</f>
        <v/>
      </c>
      <c r="B41" s="68" t="n"/>
      <c r="C41" s="69" t="n"/>
      <c r="D41" s="68" t="n"/>
      <c r="E41" s="69" t="n"/>
      <c r="F41" s="68" t="n"/>
      <c r="G41" s="67">
        <f>IF(A41="","",IF(B41&lt;&gt;"Sí","Sin consentimiento: excluir sus registros",IF(C41="","Falta fecha de firma",IF(C41&gt;DATE(2026,8,3),"Firmado después del inicio del pretest (declarar)",IF(D41="Sí","Retirado: excluir desde la fecha de retiro","OK")))))</f>
        <v/>
      </c>
    </row>
    <row r="42">
      <c r="A42" s="67">
        <f>IF(Pacientes!A42="","",Pacientes!A42)</f>
        <v/>
      </c>
      <c r="B42" s="68" t="n"/>
      <c r="C42" s="69" t="n"/>
      <c r="D42" s="68" t="n"/>
      <c r="E42" s="69" t="n"/>
      <c r="F42" s="68" t="n"/>
      <c r="G42" s="67">
        <f>IF(A42="","",IF(B42&lt;&gt;"Sí","Sin consentimiento: excluir sus registros",IF(C42="","Falta fecha de firma",IF(C42&gt;DATE(2026,8,3),"Firmado después del inicio del pretest (declarar)",IF(D42="Sí","Retirado: excluir desde la fecha de retiro","OK")))))</f>
        <v/>
      </c>
    </row>
    <row r="43">
      <c r="A43" s="67">
        <f>IF(Pacientes!A43="","",Pacientes!A43)</f>
        <v/>
      </c>
      <c r="B43" s="68" t="n"/>
      <c r="C43" s="69" t="n"/>
      <c r="D43" s="68" t="n"/>
      <c r="E43" s="69" t="n"/>
      <c r="F43" s="68" t="n"/>
      <c r="G43" s="67">
        <f>IF(A43="","",IF(B43&lt;&gt;"Sí","Sin consentimiento: excluir sus registros",IF(C43="","Falta fecha de firma",IF(C43&gt;DATE(2026,8,3),"Firmado después del inicio del pretest (declarar)",IF(D43="Sí","Retirado: excluir desde la fecha de retiro","OK")))))</f>
        <v/>
      </c>
    </row>
    <row r="44">
      <c r="A44" s="67">
        <f>IF(Pacientes!A44="","",Pacientes!A44)</f>
        <v/>
      </c>
      <c r="B44" s="68" t="n"/>
      <c r="C44" s="69" t="n"/>
      <c r="D44" s="68" t="n"/>
      <c r="E44" s="69" t="n"/>
      <c r="F44" s="68" t="n"/>
      <c r="G44" s="67">
        <f>IF(A44="","",IF(B44&lt;&gt;"Sí","Sin consentimiento: excluir sus registros",IF(C44="","Falta fecha de firma",IF(C44&gt;DATE(2026,8,3),"Firmado después del inicio del pretest (declarar)",IF(D44="Sí","Retirado: excluir desde la fecha de retiro","OK")))))</f>
        <v/>
      </c>
    </row>
    <row r="45">
      <c r="A45" s="67">
        <f>IF(Pacientes!A45="","",Pacientes!A45)</f>
        <v/>
      </c>
      <c r="B45" s="68" t="n"/>
      <c r="C45" s="69" t="n"/>
      <c r="D45" s="68" t="n"/>
      <c r="E45" s="69" t="n"/>
      <c r="F45" s="68" t="n"/>
      <c r="G45" s="67">
        <f>IF(A45="","",IF(B45&lt;&gt;"Sí","Sin consentimiento: excluir sus registros",IF(C45="","Falta fecha de firma",IF(C45&gt;DATE(2026,8,3),"Firmado después del inicio del pretest (declarar)",IF(D45="Sí","Retirado: excluir desde la fecha de retiro","OK")))))</f>
        <v/>
      </c>
    </row>
    <row r="46">
      <c r="A46" s="67">
        <f>IF(Pacientes!A46="","",Pacientes!A46)</f>
        <v/>
      </c>
      <c r="B46" s="68" t="n"/>
      <c r="C46" s="69" t="n"/>
      <c r="D46" s="68" t="n"/>
      <c r="E46" s="69" t="n"/>
      <c r="F46" s="68" t="n"/>
      <c r="G46" s="67">
        <f>IF(A46="","",IF(B46&lt;&gt;"Sí","Sin consentimiento: excluir sus registros",IF(C46="","Falta fecha de firma",IF(C46&gt;DATE(2026,8,3),"Firmado después del inicio del pretest (declarar)",IF(D46="Sí","Retirado: excluir desde la fecha de retiro","OK")))))</f>
        <v/>
      </c>
    </row>
  </sheetData>
  <conditionalFormatting sqref="G2:G46">
    <cfRule type="expression" priority="1" dxfId="0">
      <formula>AND(G2&lt;&gt;"",G2&lt;&gt;"OK")</formula>
    </cfRule>
  </conditionalFormatting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60" customWidth="1" style="27" min="2" max="2"/>
    <col width="16" customWidth="1" style="27" min="3" max="3"/>
    <col width="18" customWidth="1" style="27" min="4" max="4"/>
    <col width="30" customWidth="1" style="27" min="5" max="5"/>
    <col width="20" customWidth="1" style="27" min="6" max="6"/>
  </cols>
  <sheetData>
    <row r="1" ht="30" customHeight="1" s="27">
      <c r="A1" s="42" t="inlineStr">
        <is>
          <t>Módulo (dimensión VI)</t>
        </is>
      </c>
      <c r="B1" s="42" t="inlineStr">
        <is>
          <t>Funcionalidad verificada</t>
        </is>
      </c>
      <c r="C1" s="42" t="inlineStr">
        <is>
          <t>Fecha de verificación</t>
        </is>
      </c>
      <c r="D1" s="42" t="inlineStr">
        <is>
          <t>Resultado</t>
        </is>
      </c>
      <c r="E1" s="42" t="inlineStr">
        <is>
          <t>Evidencia (captura, registro)</t>
        </is>
      </c>
      <c r="F1" s="42" t="inlineStr">
        <is>
          <t>Responsable</t>
        </is>
      </c>
    </row>
    <row r="2">
      <c r="A2" s="43" t="inlineStr">
        <is>
          <t>Registro de pacientes</t>
        </is>
      </c>
      <c r="B2" s="43" t="inlineStr">
        <is>
          <t>Alta de un paciente nuevo con validación de campos obligatorios</t>
        </is>
      </c>
      <c r="C2" s="44" t="n"/>
      <c r="D2" s="45" t="n"/>
      <c r="E2" s="45" t="n"/>
      <c r="F2" s="45" t="n"/>
    </row>
    <row r="3">
      <c r="A3" s="43" t="inlineStr">
        <is>
          <t>Registro de pacientes</t>
        </is>
      </c>
      <c r="B3" s="43" t="inlineStr">
        <is>
          <t>Almacenamiento del registro con marca de tiempo de inicio y fin</t>
        </is>
      </c>
      <c r="C3" s="44" t="n"/>
      <c r="D3" s="45" t="n"/>
      <c r="E3" s="45" t="n"/>
      <c r="F3" s="45" t="n"/>
    </row>
    <row r="4">
      <c r="A4" s="43" t="inlineStr">
        <is>
          <t>Agendamiento y recordatorios</t>
        </is>
      </c>
      <c r="B4" s="43" t="inlineStr">
        <is>
          <t>Creación de una cita con fecha, hora y servicio</t>
        </is>
      </c>
      <c r="C4" s="44" t="n"/>
      <c r="D4" s="45" t="n"/>
      <c r="E4" s="45" t="n"/>
      <c r="F4" s="45" t="n"/>
    </row>
    <row r="5">
      <c r="A5" s="43" t="inlineStr">
        <is>
          <t>Agendamiento y recordatorios</t>
        </is>
      </c>
      <c r="B5" s="43" t="inlineStr">
        <is>
          <t>Envío automático del recordatorio al paciente</t>
        </is>
      </c>
      <c r="C5" s="44" t="n"/>
      <c r="D5" s="45" t="n"/>
      <c r="E5" s="45" t="n"/>
      <c r="F5" s="45" t="n"/>
    </row>
    <row r="6">
      <c r="A6" s="43" t="inlineStr">
        <is>
          <t>Agendamiento y recordatorios</t>
        </is>
      </c>
      <c r="B6" s="43" t="inlineStr">
        <is>
          <t>Registro de cancelación o reprogramación con aviso previo</t>
        </is>
      </c>
      <c r="C6" s="44" t="n"/>
      <c r="D6" s="45" t="n"/>
      <c r="E6" s="45" t="n"/>
      <c r="F6" s="45" t="n"/>
    </row>
    <row r="7">
      <c r="A7" s="43" t="inlineStr">
        <is>
          <t>Chatbot conversacional</t>
        </is>
      </c>
      <c r="B7" s="43" t="inlineStr">
        <is>
          <t>Respuesta a una consulta de cada categoría (citas, horarios, información institucional, requisitos, ubicación, seguimiento)</t>
        </is>
      </c>
      <c r="C7" s="44" t="n"/>
      <c r="D7" s="45" t="n"/>
      <c r="E7" s="45" t="n"/>
      <c r="F7" s="45" t="n"/>
    </row>
    <row r="8">
      <c r="A8" s="43" t="inlineStr">
        <is>
          <t>Chatbot conversacional</t>
        </is>
      </c>
      <c r="B8" s="43" t="inlineStr">
        <is>
          <t>Derivación al personal cuando la consulta no puede resolverse</t>
        </is>
      </c>
      <c r="C8" s="44" t="n"/>
      <c r="D8" s="45" t="n"/>
      <c r="E8" s="45" t="n"/>
      <c r="F8" s="45" t="n"/>
    </row>
    <row r="9">
      <c r="A9" s="43" t="inlineStr">
        <is>
          <t>Chatbot conversacional</t>
        </is>
      </c>
      <c r="B9" s="43" t="inlineStr">
        <is>
          <t>Registro de cada consulta con su categoría, resolución y derivación</t>
        </is>
      </c>
      <c r="C9" s="44" t="n"/>
      <c r="D9" s="45" t="n"/>
      <c r="E9" s="45" t="n"/>
      <c r="F9" s="45" t="n"/>
    </row>
  </sheetData>
  <dataValidations count="1">
    <dataValidation sqref="D2:D9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Manual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Manual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Manual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Manual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Manual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Manual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Manual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Manual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Manual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Manual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Manual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Manual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Manual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Manual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Manual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Manual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Manual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Manual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Manual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Manual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Manual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Manual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Manual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Manual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Manual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Manual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Manual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Manual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Manual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Manual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Manual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Manual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Manual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Manual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Manual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Manual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Manual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Manual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Manual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Manual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Manual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Manual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Manual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Manual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Manual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Manual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Manual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Manual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Manual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Manual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Manual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Manual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Manual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Manual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Manual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Manual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Manual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Manual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Manual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Manual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Manual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Manual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Manual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Manual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Manual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Manual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Manual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Manual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Manual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Manual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Manual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Manual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Manual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Manual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Manual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Manual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Manual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Manual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Manual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Manual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Manual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Manual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Manual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Manual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Manual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Manual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Manual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Manual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Manual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Manual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Manual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Manual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Manual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Manual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Manual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Manual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Manual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Manual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Manual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Manual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Manual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Manual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Manual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Manual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Manual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Manual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Manual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Manual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Manual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Manual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Manual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Manual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Manual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Manual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Manual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Manual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Manual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Manual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Manual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Manual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Manual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Manual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Manual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Manual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Manual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Manual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Manual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Manual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Manual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Manual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Manual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Manual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Manual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Manual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Manual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Manual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Manual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Manual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Manual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Manual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Manual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Manual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Manual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Manual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Manual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Manual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Manual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Manual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Manual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Manual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Manual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Manual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Manual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Manual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Manual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Manual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Manual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Manual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Manual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Manual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Manual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Manual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Manual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Manual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Manual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Manual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Manual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Manual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Manual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Manual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Manual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Manual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Manual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Manual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Manual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Manual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Manual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Manual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Manual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Manual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Manual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Manual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Manual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Manual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Manual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Manual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Manual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Manual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Manual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Manual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Manual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Manual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Manual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Manual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Manual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Manual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Manual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Manual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Manual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Manual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Manual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Sistema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Sistema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Sistema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Sistema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Sistema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Sistema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Sistema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Sistema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Sistema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Sistema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Sistema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Sistema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Sistema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Sistema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Sistema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Sistema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Sistema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Sistema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Sistema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Sistema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Sistema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Sistema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Sistema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Sistema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Sistema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Sistema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Sistema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Sistema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Sistema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Sistema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Sistema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Sistema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Sistema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Sistema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Sistema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Sistema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Sistema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Sistema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Sistema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Sistema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Sistema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Sistema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Sistema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Sistema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Sistema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Sistema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Sistema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Sistema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Sistema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Sistema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Sistema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Sistema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Sistema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Sistema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Sistema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Sistema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Sistema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Sistema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Sistema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Sistema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Sistema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Sistema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Sistema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Sistema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Sistema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Sistema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Sistema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Sistema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Sistema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Sistema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Sistema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Sistema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Sistema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Sistema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Sistema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Sistema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Sistema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Sistema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Sistema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Sistema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Sistema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Sistema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Sistema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Sistema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Sistema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Sistema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Sistema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Sistema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Sistema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Sistema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Sistema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Sistema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Sistema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Sistema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Sistema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Sistema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Sistema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Sistema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Sistema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Sistema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Sistema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Sistema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Sistema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Sistema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Sistema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Sistema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Sistema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Sistema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Sistema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Sistema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Sistema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Sistema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Sistema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Sistema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Sistema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Sistema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Sistema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Sistema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Sistema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Sistema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Sistema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Sistema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Sistema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Sistema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Sistema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Sistema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Sistema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Sistema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Sistema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Sistema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Sistema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Sistema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Sistema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Sistema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Sistema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Sistema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Sistema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Sistema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Sistema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Sistema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Sistema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Sistema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Sistema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Sistema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Sistema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Sistema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Sistema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Sistema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Sistema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Sistema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Sistema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Sistema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Sistema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Sistema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Sistema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Sistema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Sistema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Sistema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Sistema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Sistema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Sistema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Sistema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Sistema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Sistema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Sistema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Sistema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Sistema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Sistema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Sistema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Sistema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Sistema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Sistema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Sistema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Sistema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Sistema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Sistema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Sistema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Sistema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Sistema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Sistema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Sistema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Sistema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Sistema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Sistema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Sistema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Sistema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Sistema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Sistema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Sistema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Sistema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Sistema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Sistema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Sistema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Sistema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Sistema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Sistema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Sistema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Sistema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Sistema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Sistema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Sistema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Listas!$B$2:$B$14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Presencial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54" t="n"/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54" t="n"/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54" t="n"/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54" t="n"/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54" t="n"/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54" t="n"/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54" t="n"/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54" t="n"/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54" t="n"/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54" t="n"/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54" t="n"/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54" t="n"/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54" t="n"/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54" t="n"/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54" t="n"/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54" t="n"/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54" t="n"/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54" t="n"/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54" t="n"/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54" t="n"/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54" t="n"/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54" t="n"/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54" t="n"/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54" t="n"/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54" t="n"/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54" t="n"/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54" t="n"/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54" t="n"/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54" t="n"/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54" t="n"/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54" t="n"/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54" t="n"/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54" t="n"/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54" t="n"/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54" t="n"/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54" t="n"/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54" t="n"/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54" t="n"/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54" t="n"/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54" t="n"/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54" t="n"/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54" t="n"/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54" t="n"/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54" t="n"/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54" t="n"/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54" t="n"/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54" t="n"/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54" t="n"/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54" t="n"/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54" t="n"/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54" t="n"/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54" t="n"/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54" t="n"/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54" t="n"/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54" t="n"/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54" t="n"/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54" t="n"/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54" t="n"/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54" t="n"/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54" t="n"/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54" t="n"/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54" t="n"/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54" t="n"/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54" t="n"/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54" t="n"/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54" t="n"/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54" t="n"/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54" t="n"/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54" t="n"/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54" t="n"/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54" t="n"/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54" t="n"/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54" t="n"/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54" t="n"/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54" t="n"/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54" t="n"/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54" t="n"/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54" t="n"/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54" t="n"/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54" t="n"/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54" t="n"/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54" t="n"/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54" t="n"/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54" t="n"/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54" t="n"/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54" t="n"/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54" t="n"/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54" t="n"/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54" t="n"/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54" t="n"/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54" t="n"/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54" t="n"/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54" t="n"/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54" t="n"/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54" t="n"/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54" t="n"/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54" t="n"/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54" t="n"/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54" t="n"/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54" t="n"/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54" t="n"/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54" t="n"/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54" t="n"/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54" t="n"/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54" t="n"/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54" t="n"/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54" t="n"/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54" t="n"/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54" t="n"/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54" t="n"/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54" t="n"/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54" t="n"/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54" t="n"/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54" t="n"/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54" t="n"/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54" t="n"/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54" t="n"/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54" t="n"/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54" t="n"/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54" t="n"/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54" t="n"/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54" t="n"/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54" t="n"/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54" t="n"/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54" t="n"/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54" t="n"/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54" t="n"/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54" t="n"/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54" t="n"/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54" t="n"/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54" t="n"/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54" t="n"/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54" t="n"/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54" t="n"/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54" t="n"/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54" t="n"/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54" t="n"/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54" t="n"/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54" t="n"/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54" t="n"/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54" t="n"/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54" t="n"/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54" t="n"/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54" t="n"/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5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E3:E202" showDropDown="0" showInputMessage="0" showErrorMessage="0" allowBlank="1" type="list" errorStyle="stop" operator="between">
      <formula1>Listas!$F$2:$F$4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Chatbot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53" t="inlineStr">
        <is>
          <t>Chatbot</t>
        </is>
      </c>
      <c r="F3" s="40" t="n"/>
      <c r="G3" s="40" t="n"/>
      <c r="H3" s="54" t="n"/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53" t="inlineStr">
        <is>
          <t>Chatbot</t>
        </is>
      </c>
      <c r="F4" s="40" t="n"/>
      <c r="G4" s="40" t="n"/>
      <c r="H4" s="54" t="n"/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53" t="inlineStr">
        <is>
          <t>Chatbot</t>
        </is>
      </c>
      <c r="F5" s="40" t="n"/>
      <c r="G5" s="40" t="n"/>
      <c r="H5" s="54" t="n"/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53" t="inlineStr">
        <is>
          <t>Chatbot</t>
        </is>
      </c>
      <c r="F6" s="40" t="n"/>
      <c r="G6" s="40" t="n"/>
      <c r="H6" s="54" t="n"/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53" t="inlineStr">
        <is>
          <t>Chatbot</t>
        </is>
      </c>
      <c r="F7" s="40" t="n"/>
      <c r="G7" s="40" t="n"/>
      <c r="H7" s="54" t="n"/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53" t="inlineStr">
        <is>
          <t>Chatbot</t>
        </is>
      </c>
      <c r="F8" s="40" t="n"/>
      <c r="G8" s="40" t="n"/>
      <c r="H8" s="54" t="n"/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53" t="inlineStr">
        <is>
          <t>Chatbot</t>
        </is>
      </c>
      <c r="F9" s="40" t="n"/>
      <c r="G9" s="40" t="n"/>
      <c r="H9" s="54" t="n"/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53" t="inlineStr">
        <is>
          <t>Chatbot</t>
        </is>
      </c>
      <c r="F10" s="40" t="n"/>
      <c r="G10" s="40" t="n"/>
      <c r="H10" s="54" t="n"/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53" t="inlineStr">
        <is>
          <t>Chatbot</t>
        </is>
      </c>
      <c r="F11" s="40" t="n"/>
      <c r="G11" s="40" t="n"/>
      <c r="H11" s="54" t="n"/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53" t="inlineStr">
        <is>
          <t>Chatbot</t>
        </is>
      </c>
      <c r="F12" s="40" t="n"/>
      <c r="G12" s="40" t="n"/>
      <c r="H12" s="54" t="n"/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53" t="inlineStr">
        <is>
          <t>Chatbot</t>
        </is>
      </c>
      <c r="F13" s="40" t="n"/>
      <c r="G13" s="40" t="n"/>
      <c r="H13" s="54" t="n"/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53" t="inlineStr">
        <is>
          <t>Chatbot</t>
        </is>
      </c>
      <c r="F14" s="40" t="n"/>
      <c r="G14" s="40" t="n"/>
      <c r="H14" s="54" t="n"/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53" t="inlineStr">
        <is>
          <t>Chatbot</t>
        </is>
      </c>
      <c r="F15" s="40" t="n"/>
      <c r="G15" s="40" t="n"/>
      <c r="H15" s="54" t="n"/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53" t="inlineStr">
        <is>
          <t>Chatbot</t>
        </is>
      </c>
      <c r="F16" s="40" t="n"/>
      <c r="G16" s="40" t="n"/>
      <c r="H16" s="54" t="n"/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53" t="inlineStr">
        <is>
          <t>Chatbot</t>
        </is>
      </c>
      <c r="F17" s="40" t="n"/>
      <c r="G17" s="40" t="n"/>
      <c r="H17" s="54" t="n"/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53" t="inlineStr">
        <is>
          <t>Chatbot</t>
        </is>
      </c>
      <c r="F18" s="40" t="n"/>
      <c r="G18" s="40" t="n"/>
      <c r="H18" s="54" t="n"/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53" t="inlineStr">
        <is>
          <t>Chatbot</t>
        </is>
      </c>
      <c r="F19" s="40" t="n"/>
      <c r="G19" s="40" t="n"/>
      <c r="H19" s="54" t="n"/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53" t="inlineStr">
        <is>
          <t>Chatbot</t>
        </is>
      </c>
      <c r="F20" s="40" t="n"/>
      <c r="G20" s="40" t="n"/>
      <c r="H20" s="54" t="n"/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53" t="inlineStr">
        <is>
          <t>Chatbot</t>
        </is>
      </c>
      <c r="F21" s="40" t="n"/>
      <c r="G21" s="40" t="n"/>
      <c r="H21" s="54" t="n"/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53" t="inlineStr">
        <is>
          <t>Chatbot</t>
        </is>
      </c>
      <c r="F22" s="40" t="n"/>
      <c r="G22" s="40" t="n"/>
      <c r="H22" s="54" t="n"/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53" t="inlineStr">
        <is>
          <t>Chatbot</t>
        </is>
      </c>
      <c r="F23" s="40" t="n"/>
      <c r="G23" s="40" t="n"/>
      <c r="H23" s="54" t="n"/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53" t="inlineStr">
        <is>
          <t>Chatbot</t>
        </is>
      </c>
      <c r="F24" s="40" t="n"/>
      <c r="G24" s="40" t="n"/>
      <c r="H24" s="54" t="n"/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53" t="inlineStr">
        <is>
          <t>Chatbot</t>
        </is>
      </c>
      <c r="F25" s="40" t="n"/>
      <c r="G25" s="40" t="n"/>
      <c r="H25" s="54" t="n"/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53" t="inlineStr">
        <is>
          <t>Chatbot</t>
        </is>
      </c>
      <c r="F26" s="40" t="n"/>
      <c r="G26" s="40" t="n"/>
      <c r="H26" s="54" t="n"/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53" t="inlineStr">
        <is>
          <t>Chatbot</t>
        </is>
      </c>
      <c r="F27" s="40" t="n"/>
      <c r="G27" s="40" t="n"/>
      <c r="H27" s="54" t="n"/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53" t="inlineStr">
        <is>
          <t>Chatbot</t>
        </is>
      </c>
      <c r="F28" s="40" t="n"/>
      <c r="G28" s="40" t="n"/>
      <c r="H28" s="54" t="n"/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53" t="inlineStr">
        <is>
          <t>Chatbot</t>
        </is>
      </c>
      <c r="F29" s="40" t="n"/>
      <c r="G29" s="40" t="n"/>
      <c r="H29" s="54" t="n"/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53" t="inlineStr">
        <is>
          <t>Chatbot</t>
        </is>
      </c>
      <c r="F30" s="40" t="n"/>
      <c r="G30" s="40" t="n"/>
      <c r="H30" s="54" t="n"/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53" t="inlineStr">
        <is>
          <t>Chatbot</t>
        </is>
      </c>
      <c r="F31" s="40" t="n"/>
      <c r="G31" s="40" t="n"/>
      <c r="H31" s="54" t="n"/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53" t="inlineStr">
        <is>
          <t>Chatbot</t>
        </is>
      </c>
      <c r="F32" s="40" t="n"/>
      <c r="G32" s="40" t="n"/>
      <c r="H32" s="54" t="n"/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53" t="inlineStr">
        <is>
          <t>Chatbot</t>
        </is>
      </c>
      <c r="F33" s="40" t="n"/>
      <c r="G33" s="40" t="n"/>
      <c r="H33" s="54" t="n"/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53" t="inlineStr">
        <is>
          <t>Chatbot</t>
        </is>
      </c>
      <c r="F34" s="40" t="n"/>
      <c r="G34" s="40" t="n"/>
      <c r="H34" s="54" t="n"/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53" t="inlineStr">
        <is>
          <t>Chatbot</t>
        </is>
      </c>
      <c r="F35" s="40" t="n"/>
      <c r="G35" s="40" t="n"/>
      <c r="H35" s="54" t="n"/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53" t="inlineStr">
        <is>
          <t>Chatbot</t>
        </is>
      </c>
      <c r="F36" s="40" t="n"/>
      <c r="G36" s="40" t="n"/>
      <c r="H36" s="54" t="n"/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53" t="inlineStr">
        <is>
          <t>Chatbot</t>
        </is>
      </c>
      <c r="F37" s="40" t="n"/>
      <c r="G37" s="40" t="n"/>
      <c r="H37" s="54" t="n"/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53" t="inlineStr">
        <is>
          <t>Chatbot</t>
        </is>
      </c>
      <c r="F38" s="40" t="n"/>
      <c r="G38" s="40" t="n"/>
      <c r="H38" s="54" t="n"/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53" t="inlineStr">
        <is>
          <t>Chatbot</t>
        </is>
      </c>
      <c r="F39" s="40" t="n"/>
      <c r="G39" s="40" t="n"/>
      <c r="H39" s="54" t="n"/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53" t="inlineStr">
        <is>
          <t>Chatbot</t>
        </is>
      </c>
      <c r="F40" s="40" t="n"/>
      <c r="G40" s="40" t="n"/>
      <c r="H40" s="54" t="n"/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53" t="inlineStr">
        <is>
          <t>Chatbot</t>
        </is>
      </c>
      <c r="F41" s="40" t="n"/>
      <c r="G41" s="40" t="n"/>
      <c r="H41" s="54" t="n"/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53" t="inlineStr">
        <is>
          <t>Chatbot</t>
        </is>
      </c>
      <c r="F42" s="40" t="n"/>
      <c r="G42" s="40" t="n"/>
      <c r="H42" s="54" t="n"/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53" t="inlineStr">
        <is>
          <t>Chatbot</t>
        </is>
      </c>
      <c r="F43" s="40" t="n"/>
      <c r="G43" s="40" t="n"/>
      <c r="H43" s="54" t="n"/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53" t="inlineStr">
        <is>
          <t>Chatbot</t>
        </is>
      </c>
      <c r="F44" s="40" t="n"/>
      <c r="G44" s="40" t="n"/>
      <c r="H44" s="54" t="n"/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53" t="inlineStr">
        <is>
          <t>Chatbot</t>
        </is>
      </c>
      <c r="F45" s="40" t="n"/>
      <c r="G45" s="40" t="n"/>
      <c r="H45" s="54" t="n"/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53" t="inlineStr">
        <is>
          <t>Chatbot</t>
        </is>
      </c>
      <c r="F46" s="40" t="n"/>
      <c r="G46" s="40" t="n"/>
      <c r="H46" s="54" t="n"/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53" t="inlineStr">
        <is>
          <t>Chatbot</t>
        </is>
      </c>
      <c r="F47" s="40" t="n"/>
      <c r="G47" s="40" t="n"/>
      <c r="H47" s="54" t="n"/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53" t="inlineStr">
        <is>
          <t>Chatbot</t>
        </is>
      </c>
      <c r="F48" s="40" t="n"/>
      <c r="G48" s="40" t="n"/>
      <c r="H48" s="54" t="n"/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53" t="inlineStr">
        <is>
          <t>Chatbot</t>
        </is>
      </c>
      <c r="F49" s="40" t="n"/>
      <c r="G49" s="40" t="n"/>
      <c r="H49" s="54" t="n"/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53" t="inlineStr">
        <is>
          <t>Chatbot</t>
        </is>
      </c>
      <c r="F50" s="40" t="n"/>
      <c r="G50" s="40" t="n"/>
      <c r="H50" s="54" t="n"/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53" t="inlineStr">
        <is>
          <t>Chatbot</t>
        </is>
      </c>
      <c r="F51" s="40" t="n"/>
      <c r="G51" s="40" t="n"/>
      <c r="H51" s="54" t="n"/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53" t="inlineStr">
        <is>
          <t>Chatbot</t>
        </is>
      </c>
      <c r="F52" s="40" t="n"/>
      <c r="G52" s="40" t="n"/>
      <c r="H52" s="54" t="n"/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53" t="inlineStr">
        <is>
          <t>Chatbot</t>
        </is>
      </c>
      <c r="F53" s="40" t="n"/>
      <c r="G53" s="40" t="n"/>
      <c r="H53" s="54" t="n"/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53" t="inlineStr">
        <is>
          <t>Chatbot</t>
        </is>
      </c>
      <c r="F54" s="40" t="n"/>
      <c r="G54" s="40" t="n"/>
      <c r="H54" s="54" t="n"/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53" t="inlineStr">
        <is>
          <t>Chatbot</t>
        </is>
      </c>
      <c r="F55" s="40" t="n"/>
      <c r="G55" s="40" t="n"/>
      <c r="H55" s="54" t="n"/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53" t="inlineStr">
        <is>
          <t>Chatbot</t>
        </is>
      </c>
      <c r="F56" s="40" t="n"/>
      <c r="G56" s="40" t="n"/>
      <c r="H56" s="54" t="n"/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53" t="inlineStr">
        <is>
          <t>Chatbot</t>
        </is>
      </c>
      <c r="F57" s="40" t="n"/>
      <c r="G57" s="40" t="n"/>
      <c r="H57" s="54" t="n"/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53" t="inlineStr">
        <is>
          <t>Chatbot</t>
        </is>
      </c>
      <c r="F58" s="40" t="n"/>
      <c r="G58" s="40" t="n"/>
      <c r="H58" s="54" t="n"/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53" t="inlineStr">
        <is>
          <t>Chatbot</t>
        </is>
      </c>
      <c r="F59" s="40" t="n"/>
      <c r="G59" s="40" t="n"/>
      <c r="H59" s="54" t="n"/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53" t="inlineStr">
        <is>
          <t>Chatbot</t>
        </is>
      </c>
      <c r="F60" s="40" t="n"/>
      <c r="G60" s="40" t="n"/>
      <c r="H60" s="54" t="n"/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53" t="inlineStr">
        <is>
          <t>Chatbot</t>
        </is>
      </c>
      <c r="F61" s="40" t="n"/>
      <c r="G61" s="40" t="n"/>
      <c r="H61" s="54" t="n"/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53" t="inlineStr">
        <is>
          <t>Chatbot</t>
        </is>
      </c>
      <c r="F62" s="40" t="n"/>
      <c r="G62" s="40" t="n"/>
      <c r="H62" s="54" t="n"/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53" t="inlineStr">
        <is>
          <t>Chatbot</t>
        </is>
      </c>
      <c r="F63" s="40" t="n"/>
      <c r="G63" s="40" t="n"/>
      <c r="H63" s="54" t="n"/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53" t="inlineStr">
        <is>
          <t>Chatbot</t>
        </is>
      </c>
      <c r="F64" s="40" t="n"/>
      <c r="G64" s="40" t="n"/>
      <c r="H64" s="54" t="n"/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53" t="inlineStr">
        <is>
          <t>Chatbot</t>
        </is>
      </c>
      <c r="F65" s="40" t="n"/>
      <c r="G65" s="40" t="n"/>
      <c r="H65" s="54" t="n"/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53" t="inlineStr">
        <is>
          <t>Chatbot</t>
        </is>
      </c>
      <c r="F66" s="40" t="n"/>
      <c r="G66" s="40" t="n"/>
      <c r="H66" s="54" t="n"/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53" t="inlineStr">
        <is>
          <t>Chatbot</t>
        </is>
      </c>
      <c r="F67" s="40" t="n"/>
      <c r="G67" s="40" t="n"/>
      <c r="H67" s="54" t="n"/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53" t="inlineStr">
        <is>
          <t>Chatbot</t>
        </is>
      </c>
      <c r="F68" s="40" t="n"/>
      <c r="G68" s="40" t="n"/>
      <c r="H68" s="54" t="n"/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53" t="inlineStr">
        <is>
          <t>Chatbot</t>
        </is>
      </c>
      <c r="F69" s="40" t="n"/>
      <c r="G69" s="40" t="n"/>
      <c r="H69" s="54" t="n"/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53" t="inlineStr">
        <is>
          <t>Chatbot</t>
        </is>
      </c>
      <c r="F70" s="40" t="n"/>
      <c r="G70" s="40" t="n"/>
      <c r="H70" s="54" t="n"/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53" t="inlineStr">
        <is>
          <t>Chatbot</t>
        </is>
      </c>
      <c r="F71" s="40" t="n"/>
      <c r="G71" s="40" t="n"/>
      <c r="H71" s="54" t="n"/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53" t="inlineStr">
        <is>
          <t>Chatbot</t>
        </is>
      </c>
      <c r="F72" s="40" t="n"/>
      <c r="G72" s="40" t="n"/>
      <c r="H72" s="54" t="n"/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53" t="inlineStr">
        <is>
          <t>Chatbot</t>
        </is>
      </c>
      <c r="F73" s="40" t="n"/>
      <c r="G73" s="40" t="n"/>
      <c r="H73" s="54" t="n"/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53" t="inlineStr">
        <is>
          <t>Chatbot</t>
        </is>
      </c>
      <c r="F74" s="40" t="n"/>
      <c r="G74" s="40" t="n"/>
      <c r="H74" s="54" t="n"/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53" t="inlineStr">
        <is>
          <t>Chatbot</t>
        </is>
      </c>
      <c r="F75" s="40" t="n"/>
      <c r="G75" s="40" t="n"/>
      <c r="H75" s="54" t="n"/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53" t="inlineStr">
        <is>
          <t>Chatbot</t>
        </is>
      </c>
      <c r="F76" s="40" t="n"/>
      <c r="G76" s="40" t="n"/>
      <c r="H76" s="54" t="n"/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53" t="inlineStr">
        <is>
          <t>Chatbot</t>
        </is>
      </c>
      <c r="F77" s="40" t="n"/>
      <c r="G77" s="40" t="n"/>
      <c r="H77" s="54" t="n"/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53" t="inlineStr">
        <is>
          <t>Chatbot</t>
        </is>
      </c>
      <c r="F78" s="40" t="n"/>
      <c r="G78" s="40" t="n"/>
      <c r="H78" s="54" t="n"/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53" t="inlineStr">
        <is>
          <t>Chatbot</t>
        </is>
      </c>
      <c r="F79" s="40" t="n"/>
      <c r="G79" s="40" t="n"/>
      <c r="H79" s="54" t="n"/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53" t="inlineStr">
        <is>
          <t>Chatbot</t>
        </is>
      </c>
      <c r="F80" s="40" t="n"/>
      <c r="G80" s="40" t="n"/>
      <c r="H80" s="54" t="n"/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53" t="inlineStr">
        <is>
          <t>Chatbot</t>
        </is>
      </c>
      <c r="F81" s="40" t="n"/>
      <c r="G81" s="40" t="n"/>
      <c r="H81" s="54" t="n"/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53" t="inlineStr">
        <is>
          <t>Chatbot</t>
        </is>
      </c>
      <c r="F82" s="40" t="n"/>
      <c r="G82" s="40" t="n"/>
      <c r="H82" s="54" t="n"/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53" t="inlineStr">
        <is>
          <t>Chatbot</t>
        </is>
      </c>
      <c r="F83" s="40" t="n"/>
      <c r="G83" s="40" t="n"/>
      <c r="H83" s="54" t="n"/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53" t="inlineStr">
        <is>
          <t>Chatbot</t>
        </is>
      </c>
      <c r="F84" s="40" t="n"/>
      <c r="G84" s="40" t="n"/>
      <c r="H84" s="54" t="n"/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53" t="inlineStr">
        <is>
          <t>Chatbot</t>
        </is>
      </c>
      <c r="F85" s="40" t="n"/>
      <c r="G85" s="40" t="n"/>
      <c r="H85" s="54" t="n"/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53" t="inlineStr">
        <is>
          <t>Chatbot</t>
        </is>
      </c>
      <c r="F86" s="40" t="n"/>
      <c r="G86" s="40" t="n"/>
      <c r="H86" s="54" t="n"/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53" t="inlineStr">
        <is>
          <t>Chatbot</t>
        </is>
      </c>
      <c r="F87" s="40" t="n"/>
      <c r="G87" s="40" t="n"/>
      <c r="H87" s="54" t="n"/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53" t="inlineStr">
        <is>
          <t>Chatbot</t>
        </is>
      </c>
      <c r="F88" s="40" t="n"/>
      <c r="G88" s="40" t="n"/>
      <c r="H88" s="54" t="n"/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53" t="inlineStr">
        <is>
          <t>Chatbot</t>
        </is>
      </c>
      <c r="F89" s="40" t="n"/>
      <c r="G89" s="40" t="n"/>
      <c r="H89" s="54" t="n"/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53" t="inlineStr">
        <is>
          <t>Chatbot</t>
        </is>
      </c>
      <c r="F90" s="40" t="n"/>
      <c r="G90" s="40" t="n"/>
      <c r="H90" s="54" t="n"/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53" t="inlineStr">
        <is>
          <t>Chatbot</t>
        </is>
      </c>
      <c r="F91" s="40" t="n"/>
      <c r="G91" s="40" t="n"/>
      <c r="H91" s="54" t="n"/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53" t="inlineStr">
        <is>
          <t>Chatbot</t>
        </is>
      </c>
      <c r="F92" s="40" t="n"/>
      <c r="G92" s="40" t="n"/>
      <c r="H92" s="54" t="n"/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53" t="inlineStr">
        <is>
          <t>Chatbot</t>
        </is>
      </c>
      <c r="F93" s="40" t="n"/>
      <c r="G93" s="40" t="n"/>
      <c r="H93" s="54" t="n"/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53" t="inlineStr">
        <is>
          <t>Chatbot</t>
        </is>
      </c>
      <c r="F94" s="40" t="n"/>
      <c r="G94" s="40" t="n"/>
      <c r="H94" s="54" t="n"/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53" t="inlineStr">
        <is>
          <t>Chatbot</t>
        </is>
      </c>
      <c r="F95" s="40" t="n"/>
      <c r="G95" s="40" t="n"/>
      <c r="H95" s="54" t="n"/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53" t="inlineStr">
        <is>
          <t>Chatbot</t>
        </is>
      </c>
      <c r="F96" s="40" t="n"/>
      <c r="G96" s="40" t="n"/>
      <c r="H96" s="54" t="n"/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53" t="inlineStr">
        <is>
          <t>Chatbot</t>
        </is>
      </c>
      <c r="F97" s="40" t="n"/>
      <c r="G97" s="40" t="n"/>
      <c r="H97" s="54" t="n"/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53" t="inlineStr">
        <is>
          <t>Chatbot</t>
        </is>
      </c>
      <c r="F98" s="40" t="n"/>
      <c r="G98" s="40" t="n"/>
      <c r="H98" s="54" t="n"/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53" t="inlineStr">
        <is>
          <t>Chatbot</t>
        </is>
      </c>
      <c r="F99" s="40" t="n"/>
      <c r="G99" s="40" t="n"/>
      <c r="H99" s="54" t="n"/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53" t="inlineStr">
        <is>
          <t>Chatbot</t>
        </is>
      </c>
      <c r="F100" s="40" t="n"/>
      <c r="G100" s="40" t="n"/>
      <c r="H100" s="54" t="n"/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53" t="inlineStr">
        <is>
          <t>Chatbot</t>
        </is>
      </c>
      <c r="F101" s="40" t="n"/>
      <c r="G101" s="40" t="n"/>
      <c r="H101" s="54" t="n"/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53" t="inlineStr">
        <is>
          <t>Chatbot</t>
        </is>
      </c>
      <c r="F102" s="40" t="n"/>
      <c r="G102" s="40" t="n"/>
      <c r="H102" s="54" t="n"/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53" t="inlineStr">
        <is>
          <t>Chatbot</t>
        </is>
      </c>
      <c r="F103" s="40" t="n"/>
      <c r="G103" s="40" t="n"/>
      <c r="H103" s="54" t="n"/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53" t="inlineStr">
        <is>
          <t>Chatbot</t>
        </is>
      </c>
      <c r="F104" s="40" t="n"/>
      <c r="G104" s="40" t="n"/>
      <c r="H104" s="54" t="n"/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53" t="inlineStr">
        <is>
          <t>Chatbot</t>
        </is>
      </c>
      <c r="F105" s="40" t="n"/>
      <c r="G105" s="40" t="n"/>
      <c r="H105" s="54" t="n"/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53" t="inlineStr">
        <is>
          <t>Chatbot</t>
        </is>
      </c>
      <c r="F106" s="40" t="n"/>
      <c r="G106" s="40" t="n"/>
      <c r="H106" s="54" t="n"/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53" t="inlineStr">
        <is>
          <t>Chatbot</t>
        </is>
      </c>
      <c r="F107" s="40" t="n"/>
      <c r="G107" s="40" t="n"/>
      <c r="H107" s="54" t="n"/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53" t="inlineStr">
        <is>
          <t>Chatbot</t>
        </is>
      </c>
      <c r="F108" s="40" t="n"/>
      <c r="G108" s="40" t="n"/>
      <c r="H108" s="54" t="n"/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53" t="inlineStr">
        <is>
          <t>Chatbot</t>
        </is>
      </c>
      <c r="F109" s="40" t="n"/>
      <c r="G109" s="40" t="n"/>
      <c r="H109" s="54" t="n"/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53" t="inlineStr">
        <is>
          <t>Chatbot</t>
        </is>
      </c>
      <c r="F110" s="40" t="n"/>
      <c r="G110" s="40" t="n"/>
      <c r="H110" s="54" t="n"/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53" t="inlineStr">
        <is>
          <t>Chatbot</t>
        </is>
      </c>
      <c r="F111" s="40" t="n"/>
      <c r="G111" s="40" t="n"/>
      <c r="H111" s="54" t="n"/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53" t="inlineStr">
        <is>
          <t>Chatbot</t>
        </is>
      </c>
      <c r="F112" s="40" t="n"/>
      <c r="G112" s="40" t="n"/>
      <c r="H112" s="54" t="n"/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53" t="inlineStr">
        <is>
          <t>Chatbot</t>
        </is>
      </c>
      <c r="F113" s="40" t="n"/>
      <c r="G113" s="40" t="n"/>
      <c r="H113" s="54" t="n"/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53" t="inlineStr">
        <is>
          <t>Chatbot</t>
        </is>
      </c>
      <c r="F114" s="40" t="n"/>
      <c r="G114" s="40" t="n"/>
      <c r="H114" s="54" t="n"/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53" t="inlineStr">
        <is>
          <t>Chatbot</t>
        </is>
      </c>
      <c r="F115" s="40" t="n"/>
      <c r="G115" s="40" t="n"/>
      <c r="H115" s="54" t="n"/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53" t="inlineStr">
        <is>
          <t>Chatbot</t>
        </is>
      </c>
      <c r="F116" s="40" t="n"/>
      <c r="G116" s="40" t="n"/>
      <c r="H116" s="54" t="n"/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53" t="inlineStr">
        <is>
          <t>Chatbot</t>
        </is>
      </c>
      <c r="F117" s="40" t="n"/>
      <c r="G117" s="40" t="n"/>
      <c r="H117" s="54" t="n"/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53" t="inlineStr">
        <is>
          <t>Chatbot</t>
        </is>
      </c>
      <c r="F118" s="40" t="n"/>
      <c r="G118" s="40" t="n"/>
      <c r="H118" s="54" t="n"/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53" t="inlineStr">
        <is>
          <t>Chatbot</t>
        </is>
      </c>
      <c r="F119" s="40" t="n"/>
      <c r="G119" s="40" t="n"/>
      <c r="H119" s="54" t="n"/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53" t="inlineStr">
        <is>
          <t>Chatbot</t>
        </is>
      </c>
      <c r="F120" s="40" t="n"/>
      <c r="G120" s="40" t="n"/>
      <c r="H120" s="54" t="n"/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53" t="inlineStr">
        <is>
          <t>Chatbot</t>
        </is>
      </c>
      <c r="F121" s="40" t="n"/>
      <c r="G121" s="40" t="n"/>
      <c r="H121" s="54" t="n"/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53" t="inlineStr">
        <is>
          <t>Chatbot</t>
        </is>
      </c>
      <c r="F122" s="40" t="n"/>
      <c r="G122" s="40" t="n"/>
      <c r="H122" s="54" t="n"/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53" t="inlineStr">
        <is>
          <t>Chatbot</t>
        </is>
      </c>
      <c r="F123" s="40" t="n"/>
      <c r="G123" s="40" t="n"/>
      <c r="H123" s="54" t="n"/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53" t="inlineStr">
        <is>
          <t>Chatbot</t>
        </is>
      </c>
      <c r="F124" s="40" t="n"/>
      <c r="G124" s="40" t="n"/>
      <c r="H124" s="54" t="n"/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53" t="inlineStr">
        <is>
          <t>Chatbot</t>
        </is>
      </c>
      <c r="F125" s="40" t="n"/>
      <c r="G125" s="40" t="n"/>
      <c r="H125" s="54" t="n"/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53" t="inlineStr">
        <is>
          <t>Chatbot</t>
        </is>
      </c>
      <c r="F126" s="40" t="n"/>
      <c r="G126" s="40" t="n"/>
      <c r="H126" s="54" t="n"/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53" t="inlineStr">
        <is>
          <t>Chatbot</t>
        </is>
      </c>
      <c r="F127" s="40" t="n"/>
      <c r="G127" s="40" t="n"/>
      <c r="H127" s="54" t="n"/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53" t="inlineStr">
        <is>
          <t>Chatbot</t>
        </is>
      </c>
      <c r="F128" s="40" t="n"/>
      <c r="G128" s="40" t="n"/>
      <c r="H128" s="54" t="n"/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53" t="inlineStr">
        <is>
          <t>Chatbot</t>
        </is>
      </c>
      <c r="F129" s="40" t="n"/>
      <c r="G129" s="40" t="n"/>
      <c r="H129" s="54" t="n"/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53" t="inlineStr">
        <is>
          <t>Chatbot</t>
        </is>
      </c>
      <c r="F130" s="40" t="n"/>
      <c r="G130" s="40" t="n"/>
      <c r="H130" s="54" t="n"/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53" t="inlineStr">
        <is>
          <t>Chatbot</t>
        </is>
      </c>
      <c r="F131" s="40" t="n"/>
      <c r="G131" s="40" t="n"/>
      <c r="H131" s="54" t="n"/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53" t="inlineStr">
        <is>
          <t>Chatbot</t>
        </is>
      </c>
      <c r="F132" s="40" t="n"/>
      <c r="G132" s="40" t="n"/>
      <c r="H132" s="54" t="n"/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53" t="inlineStr">
        <is>
          <t>Chatbot</t>
        </is>
      </c>
      <c r="F133" s="40" t="n"/>
      <c r="G133" s="40" t="n"/>
      <c r="H133" s="54" t="n"/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53" t="inlineStr">
        <is>
          <t>Chatbot</t>
        </is>
      </c>
      <c r="F134" s="40" t="n"/>
      <c r="G134" s="40" t="n"/>
      <c r="H134" s="54" t="n"/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53" t="inlineStr">
        <is>
          <t>Chatbot</t>
        </is>
      </c>
      <c r="F135" s="40" t="n"/>
      <c r="G135" s="40" t="n"/>
      <c r="H135" s="54" t="n"/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53" t="inlineStr">
        <is>
          <t>Chatbot</t>
        </is>
      </c>
      <c r="F136" s="40" t="n"/>
      <c r="G136" s="40" t="n"/>
      <c r="H136" s="54" t="n"/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53" t="inlineStr">
        <is>
          <t>Chatbot</t>
        </is>
      </c>
      <c r="F137" s="40" t="n"/>
      <c r="G137" s="40" t="n"/>
      <c r="H137" s="54" t="n"/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53" t="inlineStr">
        <is>
          <t>Chatbot</t>
        </is>
      </c>
      <c r="F138" s="40" t="n"/>
      <c r="G138" s="40" t="n"/>
      <c r="H138" s="54" t="n"/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53" t="inlineStr">
        <is>
          <t>Chatbot</t>
        </is>
      </c>
      <c r="F139" s="40" t="n"/>
      <c r="G139" s="40" t="n"/>
      <c r="H139" s="54" t="n"/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53" t="inlineStr">
        <is>
          <t>Chatbot</t>
        </is>
      </c>
      <c r="F140" s="40" t="n"/>
      <c r="G140" s="40" t="n"/>
      <c r="H140" s="54" t="n"/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53" t="inlineStr">
        <is>
          <t>Chatbot</t>
        </is>
      </c>
      <c r="F141" s="40" t="n"/>
      <c r="G141" s="40" t="n"/>
      <c r="H141" s="54" t="n"/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53" t="inlineStr">
        <is>
          <t>Chatbot</t>
        </is>
      </c>
      <c r="F142" s="40" t="n"/>
      <c r="G142" s="40" t="n"/>
      <c r="H142" s="54" t="n"/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53" t="inlineStr">
        <is>
          <t>Chatbot</t>
        </is>
      </c>
      <c r="F143" s="40" t="n"/>
      <c r="G143" s="40" t="n"/>
      <c r="H143" s="54" t="n"/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53" t="inlineStr">
        <is>
          <t>Chatbot</t>
        </is>
      </c>
      <c r="F144" s="40" t="n"/>
      <c r="G144" s="40" t="n"/>
      <c r="H144" s="54" t="n"/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53" t="inlineStr">
        <is>
          <t>Chatbot</t>
        </is>
      </c>
      <c r="F145" s="40" t="n"/>
      <c r="G145" s="40" t="n"/>
      <c r="H145" s="54" t="n"/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53" t="inlineStr">
        <is>
          <t>Chatbot</t>
        </is>
      </c>
      <c r="F146" s="40" t="n"/>
      <c r="G146" s="40" t="n"/>
      <c r="H146" s="54" t="n"/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53" t="inlineStr">
        <is>
          <t>Chatbot</t>
        </is>
      </c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53" t="inlineStr">
        <is>
          <t>Chatbot</t>
        </is>
      </c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53" t="inlineStr">
        <is>
          <t>Chatbot</t>
        </is>
      </c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53" t="inlineStr">
        <is>
          <t>Chatbot</t>
        </is>
      </c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53" t="inlineStr">
        <is>
          <t>Chatbot</t>
        </is>
      </c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53" t="inlineStr">
        <is>
          <t>Chatbot</t>
        </is>
      </c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53" t="inlineStr">
        <is>
          <t>Chatbot</t>
        </is>
      </c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53" t="inlineStr">
        <is>
          <t>Chatbot</t>
        </is>
      </c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53" t="inlineStr">
        <is>
          <t>Chatbot</t>
        </is>
      </c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53" t="inlineStr">
        <is>
          <t>Chatbot</t>
        </is>
      </c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53" t="inlineStr">
        <is>
          <t>Chatbot</t>
        </is>
      </c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53" t="inlineStr">
        <is>
          <t>Chatbot</t>
        </is>
      </c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53" t="inlineStr">
        <is>
          <t>Chatbot</t>
        </is>
      </c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53" t="inlineStr">
        <is>
          <t>Chatbot</t>
        </is>
      </c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53" t="inlineStr">
        <is>
          <t>Chatbot</t>
        </is>
      </c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53" t="inlineStr">
        <is>
          <t>Chatbot</t>
        </is>
      </c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53" t="inlineStr">
        <is>
          <t>Chatbot</t>
        </is>
      </c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53" t="inlineStr">
        <is>
          <t>Chatbot</t>
        </is>
      </c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53" t="inlineStr">
        <is>
          <t>Chatbot</t>
        </is>
      </c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53" t="inlineStr">
        <is>
          <t>Chatbot</t>
        </is>
      </c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53" t="inlineStr">
        <is>
          <t>Chatbot</t>
        </is>
      </c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53" t="inlineStr">
        <is>
          <t>Chatbot</t>
        </is>
      </c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53" t="inlineStr">
        <is>
          <t>Chatbot</t>
        </is>
      </c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53" t="inlineStr">
        <is>
          <t>Chatbot</t>
        </is>
      </c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53" t="inlineStr">
        <is>
          <t>Chatbot</t>
        </is>
      </c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53" t="inlineStr">
        <is>
          <t>Chatbot</t>
        </is>
      </c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53" t="inlineStr">
        <is>
          <t>Chatbot</t>
        </is>
      </c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53" t="inlineStr">
        <is>
          <t>Chatbot</t>
        </is>
      </c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53" t="inlineStr">
        <is>
          <t>Chatbot</t>
        </is>
      </c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53" t="inlineStr">
        <is>
          <t>Chatbot</t>
        </is>
      </c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53" t="inlineStr">
        <is>
          <t>Chatbot</t>
        </is>
      </c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53" t="inlineStr">
        <is>
          <t>Chatbot</t>
        </is>
      </c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53" t="inlineStr">
        <is>
          <t>Chatbot</t>
        </is>
      </c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53" t="inlineStr">
        <is>
          <t>Chatbot</t>
        </is>
      </c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53" t="inlineStr">
        <is>
          <t>Chatbot</t>
        </is>
      </c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53" t="inlineStr">
        <is>
          <t>Chatbot</t>
        </is>
      </c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53" t="inlineStr">
        <is>
          <t>Chatbot</t>
        </is>
      </c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53" t="inlineStr">
        <is>
          <t>Chatbot</t>
        </is>
      </c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53" t="inlineStr">
        <is>
          <t>Chatbot</t>
        </is>
      </c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53" t="inlineStr">
        <is>
          <t>Chatbot</t>
        </is>
      </c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53" t="inlineStr">
        <is>
          <t>Chatbot</t>
        </is>
      </c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53" t="inlineStr">
        <is>
          <t>Chatbot</t>
        </is>
      </c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53" t="inlineStr">
        <is>
          <t>Chatbot</t>
        </is>
      </c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53" t="inlineStr">
        <is>
          <t>Chatbot</t>
        </is>
      </c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53" t="inlineStr">
        <is>
          <t>Chatbot</t>
        </is>
      </c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53" t="inlineStr">
        <is>
          <t>Chatbot</t>
        </is>
      </c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53" t="inlineStr">
        <is>
          <t>Chatbot</t>
        </is>
      </c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53" t="inlineStr">
        <is>
          <t>Chatbot</t>
        </is>
      </c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53" t="inlineStr">
        <is>
          <t>Chatbot</t>
        </is>
      </c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53" t="inlineStr">
        <is>
          <t>Chatbot</t>
        </is>
      </c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53" t="inlineStr">
        <is>
          <t>Chatbot</t>
        </is>
      </c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53" t="inlineStr">
        <is>
          <t>Chatbot</t>
        </is>
      </c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53" t="inlineStr">
        <is>
          <t>Chatbot</t>
        </is>
      </c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53" t="inlineStr">
        <is>
          <t>Chatbot</t>
        </is>
      </c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53" t="inlineStr">
        <is>
          <t>Chatbot</t>
        </is>
      </c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53" t="inlineStr">
        <is>
          <t>Chatbot</t>
        </is>
      </c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3"/>
    <col width="16" customWidth="1" style="26" min="4" max="5"/>
    <col width="12" customWidth="1" style="26" min="6" max="7"/>
    <col width="16" customWidth="1" style="26" min="8" max="9"/>
    <col width="13" customWidth="1" style="27" min="10" max="10"/>
    <col width="13" customWidth="1" style="27" min="11" max="11"/>
    <col width="13" customWidth="1" style="27" min="12" max="12"/>
    <col width="13" customWidth="1" style="27" min="13" max="13"/>
    <col width="13" customWidth="1" style="27" min="14" max="14"/>
    <col width="13" customWidth="1" style="27" min="15" max="15"/>
    <col width="13" customWidth="1" style="27" min="16" max="16"/>
    <col width="13" customWidth="1" style="27" min="17" max="17"/>
    <col width="13" customWidth="1" style="27" min="18" max="18"/>
    <col width="12" customWidth="1" style="27" min="19" max="19"/>
  </cols>
  <sheetData>
    <row r="1" ht="32" customHeight="1" s="27">
      <c r="A1" s="38" t="inlineStr">
        <is>
          <t>Par</t>
        </is>
      </c>
      <c r="B1" s="38" t="inlineStr">
        <is>
          <t>Fecha PRE</t>
        </is>
      </c>
      <c r="C1" s="38" t="inlineStr">
        <is>
          <t>TPR PRE
(min)</t>
        </is>
      </c>
      <c r="D1" s="38" t="inlineStr">
        <is>
          <t>Ausentismo
PRE (%)</t>
        </is>
      </c>
      <c r="E1" s="38" t="inlineStr">
        <is>
          <t>Consultas
PRE (%)</t>
        </is>
      </c>
      <c r="F1" s="38" t="inlineStr">
        <is>
          <t>Fecha POST</t>
        </is>
      </c>
      <c r="G1" s="38" t="inlineStr">
        <is>
          <t>TPR POST
(min)</t>
        </is>
      </c>
      <c r="H1" s="38" t="inlineStr">
        <is>
          <t>Ausentismo
POST (%)</t>
        </is>
      </c>
      <c r="I1" s="38" t="inlineStr">
        <is>
          <t>Consultas
POST (%)</t>
        </is>
      </c>
      <c r="J1" s="42" t="inlineStr">
        <is>
          <t>Registros
PRE</t>
        </is>
      </c>
      <c r="K1" s="42" t="inlineStr">
        <is>
          <t>Citas elegibles
PRE</t>
        </is>
      </c>
      <c r="L1" s="42" t="inlineStr">
        <is>
          <t>Consultas
PRE</t>
        </is>
      </c>
      <c r="M1" s="42" t="inlineStr">
        <is>
          <t>Registros
POST</t>
        </is>
      </c>
      <c r="N1" s="42" t="inlineStr">
        <is>
          <t>Citas elegibles
POST</t>
        </is>
      </c>
      <c r="O1" s="42" t="inlineStr">
        <is>
          <t>Consultas
POST</t>
        </is>
      </c>
      <c r="P1" s="42" t="inlineStr">
        <is>
          <t>Par válido
TPR</t>
        </is>
      </c>
      <c r="Q1" s="42" t="inlineStr">
        <is>
          <t>Par válido
TA</t>
        </is>
      </c>
      <c r="R1" s="42" t="inlineStr">
        <is>
          <t>Par válido
NCA</t>
        </is>
      </c>
      <c r="S1" s="64" t="inlineStr">
        <is>
          <t>Mismo día
de semana</t>
        </is>
      </c>
    </row>
    <row r="2" ht="15" customHeight="1" s="27">
      <c r="A2" s="39" t="n">
        <v>1</v>
      </c>
      <c r="B2" s="55" t="n">
        <v>46237</v>
      </c>
      <c r="C2" s="56">
        <f>IFERROR(AVERAGEIFS(TPR_PRE!$F$3:$F$202,TPR_PRE!$B$3:$B$202,B2),"")</f>
        <v/>
      </c>
      <c r="D2" s="57">
        <f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57">
        <f>IFERROR(COUNTIFS(Consultas_PRE!$B$3:$B$202,B2,Consultas_PRE!$F$3:$F$202,"Sí",Consultas_PRE!$G$3:$G$202,"No")/COUNTIFS(Consultas_PRE!$B$3:$B$202,B2),"")</f>
        <v/>
      </c>
      <c r="F2" s="55" t="n">
        <v>46272</v>
      </c>
      <c r="G2" s="56">
        <f>IFERROR(AVERAGEIFS(TPR_POST!$F$3:$F$202,TPR_POST!$B$3:$B$202,F2),"")</f>
        <v/>
      </c>
      <c r="H2" s="57">
        <f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57">
        <f>IFERROR(COUNTIFS(Consultas_POST!$B$3:$B$202,F2,Consultas_POST!$F$3:$F$202,"Sí",Consultas_POST!$G$3:$G$202,"No")/COUNTIFS(Consultas_POST!$B$3:$B$202,F2),"")</f>
        <v/>
      </c>
      <c r="J2" s="58">
        <f>COUNTIFS(TPR_PRE!$B$3:$B$202,B2,TPR_PRE!$F$3:$F$202,"&gt;=0")</f>
        <v/>
      </c>
      <c r="K2" s="58">
        <f>COUNTIFS(Ausentismo_PRE!$B$3:$B$202,B2,Ausentismo_PRE!$E$3:$E$202,"No asistió")+COUNTIFS(Ausentismo_PRE!$B$3:$B$202,B2,Ausentismo_PRE!$E$3:$E$202,"Asistió")</f>
        <v/>
      </c>
      <c r="L2" s="58">
        <f>COUNTIFS(Consultas_PRE!$B$3:$B$202,B2)</f>
        <v/>
      </c>
      <c r="M2" s="58">
        <f>COUNTIFS(TPR_POST!$B$3:$B$202,F2,TPR_POST!$F$3:$F$202,"&gt;=0")</f>
        <v/>
      </c>
      <c r="N2" s="58">
        <f>COUNTIFS(Ausentismo_POST!$B$3:$B$202,F2,Ausentismo_POST!$E$3:$E$202,"No asistió")+COUNTIFS(Ausentismo_POST!$B$3:$B$202,F2,Ausentismo_POST!$E$3:$E$202,"Asistió")</f>
        <v/>
      </c>
      <c r="O2" s="58">
        <f>COUNTIFS(Consultas_POST!$B$3:$B$202,F2)</f>
        <v/>
      </c>
      <c r="P2" s="58">
        <f>IF(AND(J2&gt;0,M2&gt;0),"Sí","No")</f>
        <v/>
      </c>
      <c r="Q2" s="58">
        <f>IF(AND(K2&gt;0,N2&gt;0),"Sí","No")</f>
        <v/>
      </c>
      <c r="R2" s="58">
        <f>IF(AND(L2&gt;0,O2&gt;0),"Sí","No")</f>
        <v/>
      </c>
      <c r="S2" s="58">
        <f>IF(WEEKDAY(B2)=WEEKDAY(F2),"Sí","No")</f>
        <v/>
      </c>
    </row>
    <row r="3" ht="15" customHeight="1" s="27">
      <c r="A3" s="39" t="n">
        <v>2</v>
      </c>
      <c r="B3" s="55" t="n">
        <v>46239</v>
      </c>
      <c r="C3" s="56">
        <f>IFERROR(AVERAGEIFS(TPR_PRE!$F$3:$F$202,TPR_PRE!$B$3:$B$202,B3),"")</f>
        <v/>
      </c>
      <c r="D3" s="57">
        <f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57">
        <f>IFERROR(COUNTIFS(Consultas_PRE!$B$3:$B$202,B3,Consultas_PRE!$F$3:$F$202,"Sí",Consultas_PRE!$G$3:$G$202,"No")/COUNTIFS(Consultas_PRE!$B$3:$B$202,B3),"")</f>
        <v/>
      </c>
      <c r="F3" s="55" t="n">
        <v>46267</v>
      </c>
      <c r="G3" s="56">
        <f>IFERROR(AVERAGEIFS(TPR_POST!$F$3:$F$202,TPR_POST!$B$3:$B$202,F3),"")</f>
        <v/>
      </c>
      <c r="H3" s="57">
        <f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57">
        <f>IFERROR(COUNTIFS(Consultas_POST!$B$3:$B$202,F3,Consultas_POST!$F$3:$F$202,"Sí",Consultas_POST!$G$3:$G$202,"No")/COUNTIFS(Consultas_POST!$B$3:$B$202,F3),"")</f>
        <v/>
      </c>
      <c r="J3" s="58">
        <f>COUNTIFS(TPR_PRE!$B$3:$B$202,B3,TPR_PRE!$F$3:$F$202,"&gt;=0")</f>
        <v/>
      </c>
      <c r="K3" s="58">
        <f>COUNTIFS(Ausentismo_PRE!$B$3:$B$202,B3,Ausentismo_PRE!$E$3:$E$202,"No asistió")+COUNTIFS(Ausentismo_PRE!$B$3:$B$202,B3,Ausentismo_PRE!$E$3:$E$202,"Asistió")</f>
        <v/>
      </c>
      <c r="L3" s="58">
        <f>COUNTIFS(Consultas_PRE!$B$3:$B$202,B3)</f>
        <v/>
      </c>
      <c r="M3" s="58">
        <f>COUNTIFS(TPR_POST!$B$3:$B$202,F3,TPR_POST!$F$3:$F$202,"&gt;=0")</f>
        <v/>
      </c>
      <c r="N3" s="58">
        <f>COUNTIFS(Ausentismo_POST!$B$3:$B$202,F3,Ausentismo_POST!$E$3:$E$202,"No asistió")+COUNTIFS(Ausentismo_POST!$B$3:$B$202,F3,Ausentismo_POST!$E$3:$E$202,"Asistió")</f>
        <v/>
      </c>
      <c r="O3" s="58">
        <f>COUNTIFS(Consultas_POST!$B$3:$B$202,F3)</f>
        <v/>
      </c>
      <c r="P3" s="58">
        <f>IF(AND(J3&gt;0,M3&gt;0),"Sí","No")</f>
        <v/>
      </c>
      <c r="Q3" s="58">
        <f>IF(AND(K3&gt;0,N3&gt;0),"Sí","No")</f>
        <v/>
      </c>
      <c r="R3" s="58">
        <f>IF(AND(L3&gt;0,O3&gt;0),"Sí","No")</f>
        <v/>
      </c>
      <c r="S3" s="58">
        <f>IF(WEEKDAY(B3)=WEEKDAY(F3),"Sí","No")</f>
        <v/>
      </c>
    </row>
    <row r="4" ht="15" customHeight="1" s="27">
      <c r="A4" s="39" t="n">
        <v>3</v>
      </c>
      <c r="B4" s="55" t="n">
        <v>46241</v>
      </c>
      <c r="C4" s="56">
        <f>IFERROR(AVERAGEIFS(TPR_PRE!$F$3:$F$202,TPR_PRE!$B$3:$B$202,B4),"")</f>
        <v/>
      </c>
      <c r="D4" s="57">
        <f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57">
        <f>IFERROR(COUNTIFS(Consultas_PRE!$B$3:$B$202,B4,Consultas_PRE!$F$3:$F$202,"Sí",Consultas_PRE!$G$3:$G$202,"No")/COUNTIFS(Consultas_PRE!$B$3:$B$202,B4),"")</f>
        <v/>
      </c>
      <c r="F4" s="55" t="n">
        <v>46269</v>
      </c>
      <c r="G4" s="56">
        <f>IFERROR(AVERAGEIFS(TPR_POST!$F$3:$F$202,TPR_POST!$B$3:$B$202,F4),"")</f>
        <v/>
      </c>
      <c r="H4" s="57">
        <f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57">
        <f>IFERROR(COUNTIFS(Consultas_POST!$B$3:$B$202,F4,Consultas_POST!$F$3:$F$202,"Sí",Consultas_POST!$G$3:$G$202,"No")/COUNTIFS(Consultas_POST!$B$3:$B$202,F4),"")</f>
        <v/>
      </c>
      <c r="J4" s="58">
        <f>COUNTIFS(TPR_PRE!$B$3:$B$202,B4,TPR_PRE!$F$3:$F$202,"&gt;=0")</f>
        <v/>
      </c>
      <c r="K4" s="58">
        <f>COUNTIFS(Ausentismo_PRE!$B$3:$B$202,B4,Ausentismo_PRE!$E$3:$E$202,"No asistió")+COUNTIFS(Ausentismo_PRE!$B$3:$B$202,B4,Ausentismo_PRE!$E$3:$E$202,"Asistió")</f>
        <v/>
      </c>
      <c r="L4" s="58">
        <f>COUNTIFS(Consultas_PRE!$B$3:$B$202,B4)</f>
        <v/>
      </c>
      <c r="M4" s="58">
        <f>COUNTIFS(TPR_POST!$B$3:$B$202,F4,TPR_POST!$F$3:$F$202,"&gt;=0")</f>
        <v/>
      </c>
      <c r="N4" s="58">
        <f>COUNTIFS(Ausentismo_POST!$B$3:$B$202,F4,Ausentismo_POST!$E$3:$E$202,"No asistió")+COUNTIFS(Ausentismo_POST!$B$3:$B$202,F4,Ausentismo_POST!$E$3:$E$202,"Asistió")</f>
        <v/>
      </c>
      <c r="O4" s="58">
        <f>COUNTIFS(Consultas_POST!$B$3:$B$202,F4)</f>
        <v/>
      </c>
      <c r="P4" s="58">
        <f>IF(AND(J4&gt;0,M4&gt;0),"Sí","No")</f>
        <v/>
      </c>
      <c r="Q4" s="58">
        <f>IF(AND(K4&gt;0,N4&gt;0),"Sí","No")</f>
        <v/>
      </c>
      <c r="R4" s="58">
        <f>IF(AND(L4&gt;0,O4&gt;0),"Sí","No")</f>
        <v/>
      </c>
      <c r="S4" s="58">
        <f>IF(WEEKDAY(B4)=WEEKDAY(F4),"Sí","No")</f>
        <v/>
      </c>
    </row>
    <row r="5" ht="15" customHeight="1" s="27">
      <c r="A5" s="39" t="n">
        <v>4</v>
      </c>
      <c r="B5" s="55" t="n">
        <v>46244</v>
      </c>
      <c r="C5" s="56">
        <f>IFERROR(AVERAGEIFS(TPR_PRE!$F$3:$F$202,TPR_PRE!$B$3:$B$202,B5),"")</f>
        <v/>
      </c>
      <c r="D5" s="57">
        <f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57">
        <f>IFERROR(COUNTIFS(Consultas_PRE!$B$3:$B$202,B5,Consultas_PRE!$F$3:$F$202,"Sí",Consultas_PRE!$G$3:$G$202,"No")/COUNTIFS(Consultas_PRE!$B$3:$B$202,B5),"")</f>
        <v/>
      </c>
      <c r="F5" s="55" t="n">
        <v>46279</v>
      </c>
      <c r="G5" s="56">
        <f>IFERROR(AVERAGEIFS(TPR_POST!$F$3:$F$202,TPR_POST!$B$3:$B$202,F5),"")</f>
        <v/>
      </c>
      <c r="H5" s="57">
        <f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57">
        <f>IFERROR(COUNTIFS(Consultas_POST!$B$3:$B$202,F5,Consultas_POST!$F$3:$F$202,"Sí",Consultas_POST!$G$3:$G$202,"No")/COUNTIFS(Consultas_POST!$B$3:$B$202,F5),"")</f>
        <v/>
      </c>
      <c r="J5" s="58">
        <f>COUNTIFS(TPR_PRE!$B$3:$B$202,B5,TPR_PRE!$F$3:$F$202,"&gt;=0")</f>
        <v/>
      </c>
      <c r="K5" s="58">
        <f>COUNTIFS(Ausentismo_PRE!$B$3:$B$202,B5,Ausentismo_PRE!$E$3:$E$202,"No asistió")+COUNTIFS(Ausentismo_PRE!$B$3:$B$202,B5,Ausentismo_PRE!$E$3:$E$202,"Asistió")</f>
        <v/>
      </c>
      <c r="L5" s="58">
        <f>COUNTIFS(Consultas_PRE!$B$3:$B$202,B5)</f>
        <v/>
      </c>
      <c r="M5" s="58">
        <f>COUNTIFS(TPR_POST!$B$3:$B$202,F5,TPR_POST!$F$3:$F$202,"&gt;=0")</f>
        <v/>
      </c>
      <c r="N5" s="58">
        <f>COUNTIFS(Ausentismo_POST!$B$3:$B$202,F5,Ausentismo_POST!$E$3:$E$202,"No asistió")+COUNTIFS(Ausentismo_POST!$B$3:$B$202,F5,Ausentismo_POST!$E$3:$E$202,"Asistió")</f>
        <v/>
      </c>
      <c r="O5" s="58">
        <f>COUNTIFS(Consultas_POST!$B$3:$B$202,F5)</f>
        <v/>
      </c>
      <c r="P5" s="58">
        <f>IF(AND(J5&gt;0,M5&gt;0),"Sí","No")</f>
        <v/>
      </c>
      <c r="Q5" s="58">
        <f>IF(AND(K5&gt;0,N5&gt;0),"Sí","No")</f>
        <v/>
      </c>
      <c r="R5" s="58">
        <f>IF(AND(L5&gt;0,O5&gt;0),"Sí","No")</f>
        <v/>
      </c>
      <c r="S5" s="58">
        <f>IF(WEEKDAY(B5)=WEEKDAY(F5),"Sí","No")</f>
        <v/>
      </c>
    </row>
    <row r="6" ht="15" customHeight="1" s="27">
      <c r="A6" s="39" t="n">
        <v>5</v>
      </c>
      <c r="B6" s="55" t="n">
        <v>46246</v>
      </c>
      <c r="C6" s="56">
        <f>IFERROR(AVERAGEIFS(TPR_PRE!$F$3:$F$202,TPR_PRE!$B$3:$B$202,B6),"")</f>
        <v/>
      </c>
      <c r="D6" s="57">
        <f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57">
        <f>IFERROR(COUNTIFS(Consultas_PRE!$B$3:$B$202,B6,Consultas_PRE!$F$3:$F$202,"Sí",Consultas_PRE!$G$3:$G$202,"No")/COUNTIFS(Consultas_PRE!$B$3:$B$202,B6),"")</f>
        <v/>
      </c>
      <c r="F6" s="55" t="n">
        <v>46274</v>
      </c>
      <c r="G6" s="56">
        <f>IFERROR(AVERAGEIFS(TPR_POST!$F$3:$F$202,TPR_POST!$B$3:$B$202,F6),"")</f>
        <v/>
      </c>
      <c r="H6" s="57">
        <f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57">
        <f>IFERROR(COUNTIFS(Consultas_POST!$B$3:$B$202,F6,Consultas_POST!$F$3:$F$202,"Sí",Consultas_POST!$G$3:$G$202,"No")/COUNTIFS(Consultas_POST!$B$3:$B$202,F6),"")</f>
        <v/>
      </c>
      <c r="J6" s="58">
        <f>COUNTIFS(TPR_PRE!$B$3:$B$202,B6,TPR_PRE!$F$3:$F$202,"&gt;=0")</f>
        <v/>
      </c>
      <c r="K6" s="58">
        <f>COUNTIFS(Ausentismo_PRE!$B$3:$B$202,B6,Ausentismo_PRE!$E$3:$E$202,"No asistió")+COUNTIFS(Ausentismo_PRE!$B$3:$B$202,B6,Ausentismo_PRE!$E$3:$E$202,"Asistió")</f>
        <v/>
      </c>
      <c r="L6" s="58">
        <f>COUNTIFS(Consultas_PRE!$B$3:$B$202,B6)</f>
        <v/>
      </c>
      <c r="M6" s="58">
        <f>COUNTIFS(TPR_POST!$B$3:$B$202,F6,TPR_POST!$F$3:$F$202,"&gt;=0")</f>
        <v/>
      </c>
      <c r="N6" s="58">
        <f>COUNTIFS(Ausentismo_POST!$B$3:$B$202,F6,Ausentismo_POST!$E$3:$E$202,"No asistió")+COUNTIFS(Ausentismo_POST!$B$3:$B$202,F6,Ausentismo_POST!$E$3:$E$202,"Asistió")</f>
        <v/>
      </c>
      <c r="O6" s="58">
        <f>COUNTIFS(Consultas_POST!$B$3:$B$202,F6)</f>
        <v/>
      </c>
      <c r="P6" s="58">
        <f>IF(AND(J6&gt;0,M6&gt;0),"Sí","No")</f>
        <v/>
      </c>
      <c r="Q6" s="58">
        <f>IF(AND(K6&gt;0,N6&gt;0),"Sí","No")</f>
        <v/>
      </c>
      <c r="R6" s="58">
        <f>IF(AND(L6&gt;0,O6&gt;0),"Sí","No")</f>
        <v/>
      </c>
      <c r="S6" s="58">
        <f>IF(WEEKDAY(B6)=WEEKDAY(F6),"Sí","No")</f>
        <v/>
      </c>
    </row>
    <row r="7" ht="15" customHeight="1" s="27">
      <c r="A7" s="39" t="n">
        <v>6</v>
      </c>
      <c r="B7" s="55" t="n">
        <v>46248</v>
      </c>
      <c r="C7" s="56">
        <f>IFERROR(AVERAGEIFS(TPR_PRE!$F$3:$F$202,TPR_PRE!$B$3:$B$202,B7),"")</f>
        <v/>
      </c>
      <c r="D7" s="57">
        <f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57">
        <f>IFERROR(COUNTIFS(Consultas_PRE!$B$3:$B$202,B7,Consultas_PRE!$F$3:$F$202,"Sí",Consultas_PRE!$G$3:$G$202,"No")/COUNTIFS(Consultas_PRE!$B$3:$B$202,B7),"")</f>
        <v/>
      </c>
      <c r="F7" s="55" t="n">
        <v>46276</v>
      </c>
      <c r="G7" s="56">
        <f>IFERROR(AVERAGEIFS(TPR_POST!$F$3:$F$202,TPR_POST!$B$3:$B$202,F7),"")</f>
        <v/>
      </c>
      <c r="H7" s="57">
        <f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57">
        <f>IFERROR(COUNTIFS(Consultas_POST!$B$3:$B$202,F7,Consultas_POST!$F$3:$F$202,"Sí",Consultas_POST!$G$3:$G$202,"No")/COUNTIFS(Consultas_POST!$B$3:$B$202,F7),"")</f>
        <v/>
      </c>
      <c r="J7" s="58">
        <f>COUNTIFS(TPR_PRE!$B$3:$B$202,B7,TPR_PRE!$F$3:$F$202,"&gt;=0")</f>
        <v/>
      </c>
      <c r="K7" s="58">
        <f>COUNTIFS(Ausentismo_PRE!$B$3:$B$202,B7,Ausentismo_PRE!$E$3:$E$202,"No asistió")+COUNTIFS(Ausentismo_PRE!$B$3:$B$202,B7,Ausentismo_PRE!$E$3:$E$202,"Asistió")</f>
        <v/>
      </c>
      <c r="L7" s="58">
        <f>COUNTIFS(Consultas_PRE!$B$3:$B$202,B7)</f>
        <v/>
      </c>
      <c r="M7" s="58">
        <f>COUNTIFS(TPR_POST!$B$3:$B$202,F7,TPR_POST!$F$3:$F$202,"&gt;=0")</f>
        <v/>
      </c>
      <c r="N7" s="58">
        <f>COUNTIFS(Ausentismo_POST!$B$3:$B$202,F7,Ausentismo_POST!$E$3:$E$202,"No asistió")+COUNTIFS(Ausentismo_POST!$B$3:$B$202,F7,Ausentismo_POST!$E$3:$E$202,"Asistió")</f>
        <v/>
      </c>
      <c r="O7" s="58">
        <f>COUNTIFS(Consultas_POST!$B$3:$B$202,F7)</f>
        <v/>
      </c>
      <c r="P7" s="58">
        <f>IF(AND(J7&gt;0,M7&gt;0),"Sí","No")</f>
        <v/>
      </c>
      <c r="Q7" s="58">
        <f>IF(AND(K7&gt;0,N7&gt;0),"Sí","No")</f>
        <v/>
      </c>
      <c r="R7" s="58">
        <f>IF(AND(L7&gt;0,O7&gt;0),"Sí","No")</f>
        <v/>
      </c>
      <c r="S7" s="58">
        <f>IF(WEEKDAY(B7)=WEEKDAY(F7),"Sí","No")</f>
        <v/>
      </c>
    </row>
    <row r="8" ht="15" customHeight="1" s="27">
      <c r="A8" s="39" t="n">
        <v>7</v>
      </c>
      <c r="B8" s="55" t="n">
        <v>46251</v>
      </c>
      <c r="C8" s="56">
        <f>IFERROR(AVERAGEIFS(TPR_PRE!$F$3:$F$202,TPR_PRE!$B$3:$B$202,B8),"")</f>
        <v/>
      </c>
      <c r="D8" s="57">
        <f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57">
        <f>IFERROR(COUNTIFS(Consultas_PRE!$B$3:$B$202,B8,Consultas_PRE!$F$3:$F$202,"Sí",Consultas_PRE!$G$3:$G$202,"No")/COUNTIFS(Consultas_PRE!$B$3:$B$202,B8),"")</f>
        <v/>
      </c>
      <c r="F8" s="55" t="n">
        <v>46286</v>
      </c>
      <c r="G8" s="56">
        <f>IFERROR(AVERAGEIFS(TPR_POST!$F$3:$F$202,TPR_POST!$B$3:$B$202,F8),"")</f>
        <v/>
      </c>
      <c r="H8" s="57">
        <f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57">
        <f>IFERROR(COUNTIFS(Consultas_POST!$B$3:$B$202,F8,Consultas_POST!$F$3:$F$202,"Sí",Consultas_POST!$G$3:$G$202,"No")/COUNTIFS(Consultas_POST!$B$3:$B$202,F8),"")</f>
        <v/>
      </c>
      <c r="J8" s="58">
        <f>COUNTIFS(TPR_PRE!$B$3:$B$202,B8,TPR_PRE!$F$3:$F$202,"&gt;=0")</f>
        <v/>
      </c>
      <c r="K8" s="58">
        <f>COUNTIFS(Ausentismo_PRE!$B$3:$B$202,B8,Ausentismo_PRE!$E$3:$E$202,"No asistió")+COUNTIFS(Ausentismo_PRE!$B$3:$B$202,B8,Ausentismo_PRE!$E$3:$E$202,"Asistió")</f>
        <v/>
      </c>
      <c r="L8" s="58">
        <f>COUNTIFS(Consultas_PRE!$B$3:$B$202,B8)</f>
        <v/>
      </c>
      <c r="M8" s="58">
        <f>COUNTIFS(TPR_POST!$B$3:$B$202,F8,TPR_POST!$F$3:$F$202,"&gt;=0")</f>
        <v/>
      </c>
      <c r="N8" s="58">
        <f>COUNTIFS(Ausentismo_POST!$B$3:$B$202,F8,Ausentismo_POST!$E$3:$E$202,"No asistió")+COUNTIFS(Ausentismo_POST!$B$3:$B$202,F8,Ausentismo_POST!$E$3:$E$202,"Asistió")</f>
        <v/>
      </c>
      <c r="O8" s="58">
        <f>COUNTIFS(Consultas_POST!$B$3:$B$202,F8)</f>
        <v/>
      </c>
      <c r="P8" s="58">
        <f>IF(AND(J8&gt;0,M8&gt;0),"Sí","No")</f>
        <v/>
      </c>
      <c r="Q8" s="58">
        <f>IF(AND(K8&gt;0,N8&gt;0),"Sí","No")</f>
        <v/>
      </c>
      <c r="R8" s="58">
        <f>IF(AND(L8&gt;0,O8&gt;0),"Sí","No")</f>
        <v/>
      </c>
      <c r="S8" s="58">
        <f>IF(WEEKDAY(B8)=WEEKDAY(F8),"Sí","No")</f>
        <v/>
      </c>
    </row>
    <row r="9" ht="15" customHeight="1" s="27">
      <c r="A9" s="39" t="n">
        <v>8</v>
      </c>
      <c r="B9" s="55" t="n">
        <v>46253</v>
      </c>
      <c r="C9" s="56">
        <f>IFERROR(AVERAGEIFS(TPR_PRE!$F$3:$F$202,TPR_PRE!$B$3:$B$202,B9),"")</f>
        <v/>
      </c>
      <c r="D9" s="57">
        <f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57">
        <f>IFERROR(COUNTIFS(Consultas_PRE!$B$3:$B$202,B9,Consultas_PRE!$F$3:$F$202,"Sí",Consultas_PRE!$G$3:$G$202,"No")/COUNTIFS(Consultas_PRE!$B$3:$B$202,B9),"")</f>
        <v/>
      </c>
      <c r="F9" s="55" t="n">
        <v>46281</v>
      </c>
      <c r="G9" s="56">
        <f>IFERROR(AVERAGEIFS(TPR_POST!$F$3:$F$202,TPR_POST!$B$3:$B$202,F9),"")</f>
        <v/>
      </c>
      <c r="H9" s="57">
        <f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57">
        <f>IFERROR(COUNTIFS(Consultas_POST!$B$3:$B$202,F9,Consultas_POST!$F$3:$F$202,"Sí",Consultas_POST!$G$3:$G$202,"No")/COUNTIFS(Consultas_POST!$B$3:$B$202,F9),"")</f>
        <v/>
      </c>
      <c r="J9" s="58">
        <f>COUNTIFS(TPR_PRE!$B$3:$B$202,B9,TPR_PRE!$F$3:$F$202,"&gt;=0")</f>
        <v/>
      </c>
      <c r="K9" s="58">
        <f>COUNTIFS(Ausentismo_PRE!$B$3:$B$202,B9,Ausentismo_PRE!$E$3:$E$202,"No asistió")+COUNTIFS(Ausentismo_PRE!$B$3:$B$202,B9,Ausentismo_PRE!$E$3:$E$202,"Asistió")</f>
        <v/>
      </c>
      <c r="L9" s="58">
        <f>COUNTIFS(Consultas_PRE!$B$3:$B$202,B9)</f>
        <v/>
      </c>
      <c r="M9" s="58">
        <f>COUNTIFS(TPR_POST!$B$3:$B$202,F9,TPR_POST!$F$3:$F$202,"&gt;=0")</f>
        <v/>
      </c>
      <c r="N9" s="58">
        <f>COUNTIFS(Ausentismo_POST!$B$3:$B$202,F9,Ausentismo_POST!$E$3:$E$202,"No asistió")+COUNTIFS(Ausentismo_POST!$B$3:$B$202,F9,Ausentismo_POST!$E$3:$E$202,"Asistió")</f>
        <v/>
      </c>
      <c r="O9" s="58">
        <f>COUNTIFS(Consultas_POST!$B$3:$B$202,F9)</f>
        <v/>
      </c>
      <c r="P9" s="58">
        <f>IF(AND(J9&gt;0,M9&gt;0),"Sí","No")</f>
        <v/>
      </c>
      <c r="Q9" s="58">
        <f>IF(AND(K9&gt;0,N9&gt;0),"Sí","No")</f>
        <v/>
      </c>
      <c r="R9" s="58">
        <f>IF(AND(L9&gt;0,O9&gt;0),"Sí","No")</f>
        <v/>
      </c>
      <c r="S9" s="58">
        <f>IF(WEEKDAY(B9)=WEEKDAY(F9),"Sí","No")</f>
        <v/>
      </c>
    </row>
    <row r="10" ht="15" customHeight="1" s="27">
      <c r="A10" s="39" t="n">
        <v>9</v>
      </c>
      <c r="B10" s="55" t="n">
        <v>46255</v>
      </c>
      <c r="C10" s="56">
        <f>IFERROR(AVERAGEIFS(TPR_PRE!$F$3:$F$202,TPR_PRE!$B$3:$B$202,B10),"")</f>
        <v/>
      </c>
      <c r="D10" s="57">
        <f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57">
        <f>IFERROR(COUNTIFS(Consultas_PRE!$B$3:$B$202,B10,Consultas_PRE!$F$3:$F$202,"Sí",Consultas_PRE!$G$3:$G$202,"No")/COUNTIFS(Consultas_PRE!$B$3:$B$202,B10),"")</f>
        <v/>
      </c>
      <c r="F10" s="55" t="n">
        <v>46283</v>
      </c>
      <c r="G10" s="56">
        <f>IFERROR(AVERAGEIFS(TPR_POST!$F$3:$F$202,TPR_POST!$B$3:$B$202,F10),"")</f>
        <v/>
      </c>
      <c r="H10" s="57">
        <f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57">
        <f>IFERROR(COUNTIFS(Consultas_POST!$B$3:$B$202,F10,Consultas_POST!$F$3:$F$202,"Sí",Consultas_POST!$G$3:$G$202,"No")/COUNTIFS(Consultas_POST!$B$3:$B$202,F10),"")</f>
        <v/>
      </c>
      <c r="J10" s="58">
        <f>COUNTIFS(TPR_PRE!$B$3:$B$202,B10,TPR_PRE!$F$3:$F$202,"&gt;=0")</f>
        <v/>
      </c>
      <c r="K10" s="58">
        <f>COUNTIFS(Ausentismo_PRE!$B$3:$B$202,B10,Ausentismo_PRE!$E$3:$E$202,"No asistió")+COUNTIFS(Ausentismo_PRE!$B$3:$B$202,B10,Ausentismo_PRE!$E$3:$E$202,"Asistió")</f>
        <v/>
      </c>
      <c r="L10" s="58">
        <f>COUNTIFS(Consultas_PRE!$B$3:$B$202,B10)</f>
        <v/>
      </c>
      <c r="M10" s="58">
        <f>COUNTIFS(TPR_POST!$B$3:$B$202,F10,TPR_POST!$F$3:$F$202,"&gt;=0")</f>
        <v/>
      </c>
      <c r="N10" s="58">
        <f>COUNTIFS(Ausentismo_POST!$B$3:$B$202,F10,Ausentismo_POST!$E$3:$E$202,"No asistió")+COUNTIFS(Ausentismo_POST!$B$3:$B$202,F10,Ausentismo_POST!$E$3:$E$202,"Asistió")</f>
        <v/>
      </c>
      <c r="O10" s="58">
        <f>COUNTIFS(Consultas_POST!$B$3:$B$202,F10)</f>
        <v/>
      </c>
      <c r="P10" s="58">
        <f>IF(AND(J10&gt;0,M10&gt;0),"Sí","No")</f>
        <v/>
      </c>
      <c r="Q10" s="58">
        <f>IF(AND(K10&gt;0,N10&gt;0),"Sí","No")</f>
        <v/>
      </c>
      <c r="R10" s="58">
        <f>IF(AND(L10&gt;0,O10&gt;0),"Sí","No")</f>
        <v/>
      </c>
      <c r="S10" s="58">
        <f>IF(WEEKDAY(B10)=WEEKDAY(F10),"Sí","No")</f>
        <v/>
      </c>
    </row>
    <row r="11" ht="15" customHeight="1" s="27">
      <c r="A11" s="39" t="n">
        <v>10</v>
      </c>
      <c r="B11" s="55" t="n">
        <v>46258</v>
      </c>
      <c r="C11" s="56">
        <f>IFERROR(AVERAGEIFS(TPR_PRE!$F$3:$F$202,TPR_PRE!$B$3:$B$202,B11),"")</f>
        <v/>
      </c>
      <c r="D11" s="57">
        <f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57">
        <f>IFERROR(COUNTIFS(Consultas_PRE!$B$3:$B$202,B11,Consultas_PRE!$F$3:$F$202,"Sí",Consultas_PRE!$G$3:$G$202,"No")/COUNTIFS(Consultas_PRE!$B$3:$B$202,B11),"")</f>
        <v/>
      </c>
      <c r="F11" s="55" t="n">
        <v>46293</v>
      </c>
      <c r="G11" s="56">
        <f>IFERROR(AVERAGEIFS(TPR_POST!$F$3:$F$202,TPR_POST!$B$3:$B$202,F11),"")</f>
        <v/>
      </c>
      <c r="H11" s="57">
        <f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57">
        <f>IFERROR(COUNTIFS(Consultas_POST!$B$3:$B$202,F11,Consultas_POST!$F$3:$F$202,"Sí",Consultas_POST!$G$3:$G$202,"No")/COUNTIFS(Consultas_POST!$B$3:$B$202,F11),"")</f>
        <v/>
      </c>
      <c r="J11" s="58">
        <f>COUNTIFS(TPR_PRE!$B$3:$B$202,B11,TPR_PRE!$F$3:$F$202,"&gt;=0")</f>
        <v/>
      </c>
      <c r="K11" s="58">
        <f>COUNTIFS(Ausentismo_PRE!$B$3:$B$202,B11,Ausentismo_PRE!$E$3:$E$202,"No asistió")+COUNTIFS(Ausentismo_PRE!$B$3:$B$202,B11,Ausentismo_PRE!$E$3:$E$202,"Asistió")</f>
        <v/>
      </c>
      <c r="L11" s="58">
        <f>COUNTIFS(Consultas_PRE!$B$3:$B$202,B11)</f>
        <v/>
      </c>
      <c r="M11" s="58">
        <f>COUNTIFS(TPR_POST!$B$3:$B$202,F11,TPR_POST!$F$3:$F$202,"&gt;=0")</f>
        <v/>
      </c>
      <c r="N11" s="58">
        <f>COUNTIFS(Ausentismo_POST!$B$3:$B$202,F11,Ausentismo_POST!$E$3:$E$202,"No asistió")+COUNTIFS(Ausentismo_POST!$B$3:$B$202,F11,Ausentismo_POST!$E$3:$E$202,"Asistió")</f>
        <v/>
      </c>
      <c r="O11" s="58">
        <f>COUNTIFS(Consultas_POST!$B$3:$B$202,F11)</f>
        <v/>
      </c>
      <c r="P11" s="58">
        <f>IF(AND(J11&gt;0,M11&gt;0),"Sí","No")</f>
        <v/>
      </c>
      <c r="Q11" s="58">
        <f>IF(AND(K11&gt;0,N11&gt;0),"Sí","No")</f>
        <v/>
      </c>
      <c r="R11" s="58">
        <f>IF(AND(L11&gt;0,O11&gt;0),"Sí","No")</f>
        <v/>
      </c>
      <c r="S11" s="58">
        <f>IF(WEEKDAY(B11)=WEEKDAY(F11),"Sí","No")</f>
        <v/>
      </c>
    </row>
    <row r="12" ht="15" customHeight="1" s="27">
      <c r="A12" s="39" t="n">
        <v>11</v>
      </c>
      <c r="B12" s="55" t="n">
        <v>46260</v>
      </c>
      <c r="C12" s="56">
        <f>IFERROR(AVERAGEIFS(TPR_PRE!$F$3:$F$202,TPR_PRE!$B$3:$B$202,B12),"")</f>
        <v/>
      </c>
      <c r="D12" s="57">
        <f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57">
        <f>IFERROR(COUNTIFS(Consultas_PRE!$B$3:$B$202,B12,Consultas_PRE!$F$3:$F$202,"Sí",Consultas_PRE!$G$3:$G$202,"No")/COUNTIFS(Consultas_PRE!$B$3:$B$202,B12),"")</f>
        <v/>
      </c>
      <c r="F12" s="55" t="n">
        <v>46288</v>
      </c>
      <c r="G12" s="56">
        <f>IFERROR(AVERAGEIFS(TPR_POST!$F$3:$F$202,TPR_POST!$B$3:$B$202,F12),"")</f>
        <v/>
      </c>
      <c r="H12" s="57">
        <f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57">
        <f>IFERROR(COUNTIFS(Consultas_POST!$B$3:$B$202,F12,Consultas_POST!$F$3:$F$202,"Sí",Consultas_POST!$G$3:$G$202,"No")/COUNTIFS(Consultas_POST!$B$3:$B$202,F12),"")</f>
        <v/>
      </c>
      <c r="J12" s="58">
        <f>COUNTIFS(TPR_PRE!$B$3:$B$202,B12,TPR_PRE!$F$3:$F$202,"&gt;=0")</f>
        <v/>
      </c>
      <c r="K12" s="58">
        <f>COUNTIFS(Ausentismo_PRE!$B$3:$B$202,B12,Ausentismo_PRE!$E$3:$E$202,"No asistió")+COUNTIFS(Ausentismo_PRE!$B$3:$B$202,B12,Ausentismo_PRE!$E$3:$E$202,"Asistió")</f>
        <v/>
      </c>
      <c r="L12" s="58">
        <f>COUNTIFS(Consultas_PRE!$B$3:$B$202,B12)</f>
        <v/>
      </c>
      <c r="M12" s="58">
        <f>COUNTIFS(TPR_POST!$B$3:$B$202,F12,TPR_POST!$F$3:$F$202,"&gt;=0")</f>
        <v/>
      </c>
      <c r="N12" s="58">
        <f>COUNTIFS(Ausentismo_POST!$B$3:$B$202,F12,Ausentismo_POST!$E$3:$E$202,"No asistió")+COUNTIFS(Ausentismo_POST!$B$3:$B$202,F12,Ausentismo_POST!$E$3:$E$202,"Asistió")</f>
        <v/>
      </c>
      <c r="O12" s="58">
        <f>COUNTIFS(Consultas_POST!$B$3:$B$202,F12)</f>
        <v/>
      </c>
      <c r="P12" s="58">
        <f>IF(AND(J12&gt;0,M12&gt;0),"Sí","No")</f>
        <v/>
      </c>
      <c r="Q12" s="58">
        <f>IF(AND(K12&gt;0,N12&gt;0),"Sí","No")</f>
        <v/>
      </c>
      <c r="R12" s="58">
        <f>IF(AND(L12&gt;0,O12&gt;0),"Sí","No")</f>
        <v/>
      </c>
      <c r="S12" s="58">
        <f>IF(WEEKDAY(B12)=WEEKDAY(F12),"Sí","No")</f>
        <v/>
      </c>
    </row>
    <row r="13" ht="15" customHeight="1" s="27">
      <c r="A13" s="39" t="n">
        <v>12</v>
      </c>
      <c r="B13" s="55" t="n">
        <v>46262</v>
      </c>
      <c r="C13" s="56">
        <f>IFERROR(AVERAGEIFS(TPR_PRE!$F$3:$F$202,TPR_PRE!$B$3:$B$202,B13),"")</f>
        <v/>
      </c>
      <c r="D13" s="57">
        <f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57">
        <f>IFERROR(COUNTIFS(Consultas_PRE!$B$3:$B$202,B13,Consultas_PRE!$F$3:$F$202,"Sí",Consultas_PRE!$G$3:$G$202,"No")/COUNTIFS(Consultas_PRE!$B$3:$B$202,B13),"")</f>
        <v/>
      </c>
      <c r="F13" s="55" t="n">
        <v>46290</v>
      </c>
      <c r="G13" s="56">
        <f>IFERROR(AVERAGEIFS(TPR_POST!$F$3:$F$202,TPR_POST!$B$3:$B$202,F13),"")</f>
        <v/>
      </c>
      <c r="H13" s="57">
        <f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57">
        <f>IFERROR(COUNTIFS(Consultas_POST!$B$3:$B$202,F13,Consultas_POST!$F$3:$F$202,"Sí",Consultas_POST!$G$3:$G$202,"No")/COUNTIFS(Consultas_POST!$B$3:$B$202,F13),"")</f>
        <v/>
      </c>
      <c r="J13" s="58">
        <f>COUNTIFS(TPR_PRE!$B$3:$B$202,B13,TPR_PRE!$F$3:$F$202,"&gt;=0")</f>
        <v/>
      </c>
      <c r="K13" s="58">
        <f>COUNTIFS(Ausentismo_PRE!$B$3:$B$202,B13,Ausentismo_PRE!$E$3:$E$202,"No asistió")+COUNTIFS(Ausentismo_PRE!$B$3:$B$202,B13,Ausentismo_PRE!$E$3:$E$202,"Asistió")</f>
        <v/>
      </c>
      <c r="L13" s="58">
        <f>COUNTIFS(Consultas_PRE!$B$3:$B$202,B13)</f>
        <v/>
      </c>
      <c r="M13" s="58">
        <f>COUNTIFS(TPR_POST!$B$3:$B$202,F13,TPR_POST!$F$3:$F$202,"&gt;=0")</f>
        <v/>
      </c>
      <c r="N13" s="58">
        <f>COUNTIFS(Ausentismo_POST!$B$3:$B$202,F13,Ausentismo_POST!$E$3:$E$202,"No asistió")+COUNTIFS(Ausentismo_POST!$B$3:$B$202,F13,Ausentismo_POST!$E$3:$E$202,"Asistió")</f>
        <v/>
      </c>
      <c r="O13" s="58">
        <f>COUNTIFS(Consultas_POST!$B$3:$B$202,F13)</f>
        <v/>
      </c>
      <c r="P13" s="58">
        <f>IF(AND(J13&gt;0,M13&gt;0),"Sí","No")</f>
        <v/>
      </c>
      <c r="Q13" s="58">
        <f>IF(AND(K13&gt;0,N13&gt;0),"Sí","No")</f>
        <v/>
      </c>
      <c r="R13" s="58">
        <f>IF(AND(L13&gt;0,O13&gt;0),"Sí","No")</f>
        <v/>
      </c>
      <c r="S13" s="58">
        <f>IF(WEEKDAY(B13)=WEEKDAY(F13),"Sí","No")</f>
        <v/>
      </c>
    </row>
    <row r="14" ht="15" customHeight="1" s="27">
      <c r="A14" s="39" t="n">
        <v>13</v>
      </c>
      <c r="B14" s="55" t="n">
        <v>46265</v>
      </c>
      <c r="C14" s="56">
        <f>IFERROR(AVERAGEIFS(TPR_PRE!$F$3:$F$202,TPR_PRE!$B$3:$B$202,B14),"")</f>
        <v/>
      </c>
      <c r="D14" s="57">
        <f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57">
        <f>IFERROR(COUNTIFS(Consultas_PRE!$B$3:$B$202,B14,Consultas_PRE!$F$3:$F$202,"Sí",Consultas_PRE!$G$3:$G$202,"No")/COUNTIFS(Consultas_PRE!$B$3:$B$202,B14),"")</f>
        <v/>
      </c>
      <c r="F14" s="55" t="n">
        <v>46295</v>
      </c>
      <c r="G14" s="56">
        <f>IFERROR(AVERAGEIFS(TPR_POST!$F$3:$F$202,TPR_POST!$B$3:$B$202,F14),"")</f>
        <v/>
      </c>
      <c r="H14" s="57">
        <f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57">
        <f>IFERROR(COUNTIFS(Consultas_POST!$B$3:$B$202,F14,Consultas_POST!$F$3:$F$202,"Sí",Consultas_POST!$G$3:$G$202,"No")/COUNTIFS(Consultas_POST!$B$3:$B$202,F14),"")</f>
        <v/>
      </c>
      <c r="J14" s="58">
        <f>COUNTIFS(TPR_PRE!$B$3:$B$202,B14,TPR_PRE!$F$3:$F$202,"&gt;=0")</f>
        <v/>
      </c>
      <c r="K14" s="58">
        <f>COUNTIFS(Ausentismo_PRE!$B$3:$B$202,B14,Ausentismo_PRE!$E$3:$E$202,"No asistió")+COUNTIFS(Ausentismo_PRE!$B$3:$B$202,B14,Ausentismo_PRE!$E$3:$E$202,"Asistió")</f>
        <v/>
      </c>
      <c r="L14" s="58">
        <f>COUNTIFS(Consultas_PRE!$B$3:$B$202,B14)</f>
        <v/>
      </c>
      <c r="M14" s="58">
        <f>COUNTIFS(TPR_POST!$B$3:$B$202,F14,TPR_POST!$F$3:$F$202,"&gt;=0")</f>
        <v/>
      </c>
      <c r="N14" s="58">
        <f>COUNTIFS(Ausentismo_POST!$B$3:$B$202,F14,Ausentismo_POST!$E$3:$E$202,"No asistió")+COUNTIFS(Ausentismo_POST!$B$3:$B$202,F14,Ausentismo_POST!$E$3:$E$202,"Asistió")</f>
        <v/>
      </c>
      <c r="O14" s="58">
        <f>COUNTIFS(Consultas_POST!$B$3:$B$202,F14)</f>
        <v/>
      </c>
      <c r="P14" s="58">
        <f>IF(AND(J14&gt;0,M14&gt;0),"Sí","No")</f>
        <v/>
      </c>
      <c r="Q14" s="58">
        <f>IF(AND(K14&gt;0,N14&gt;0),"Sí","No")</f>
        <v/>
      </c>
      <c r="R14" s="58">
        <f>IF(AND(L14&gt;0,O14&gt;0),"Sí","No")</f>
        <v/>
      </c>
      <c r="S14" s="58">
        <f>IF(WEEKDAY(B14)=WEEKDAY(F14),"Sí","No")</f>
        <v/>
      </c>
    </row>
    <row r="16" ht="15" customHeight="1" s="27">
      <c r="A16" s="34" t="inlineStr">
        <is>
          <t>Esta hoja se calcula automáticamente a partir de las hojas TPR/Ausentismo/Consultas PRE y POST. No editar manualmente.</t>
        </is>
      </c>
    </row>
  </sheetData>
  <mergeCells count="1"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27" min="1" max="1"/>
    <col width="6" customWidth="1" style="27" min="2" max="2"/>
    <col width="12" customWidth="1" style="27" min="3" max="3"/>
    <col width="16" customWidth="1" style="27" min="4" max="4"/>
    <col width="20" customWidth="1" style="27" min="5" max="5"/>
    <col width="10" customWidth="1" style="27" min="6" max="6"/>
    <col width="10" customWidth="1" style="27" min="7" max="7"/>
    <col width="10" customWidth="1" style="27" min="8" max="8"/>
    <col width="12" customWidth="1" style="27" min="9" max="9"/>
    <col width="50" customWidth="1" style="27" min="10" max="10"/>
  </cols>
  <sheetData>
    <row r="1" ht="42" customHeight="1" s="27">
      <c r="A1" s="66" t="inlineStr">
        <is>
          <t>Etapa</t>
        </is>
      </c>
      <c r="B1" s="66" t="inlineStr">
        <is>
          <t>Par</t>
        </is>
      </c>
      <c r="C1" s="66" t="inlineStr">
        <is>
          <t>Fecha</t>
        </is>
      </c>
      <c r="D1" s="66" t="inlineStr">
        <is>
          <t>Horario de observación</t>
        </is>
      </c>
      <c r="E1" s="66" t="inlineStr">
        <is>
          <t>Observador(es)</t>
        </is>
      </c>
      <c r="F1" s="66" t="inlineStr">
        <is>
          <t>Registros</t>
        </is>
      </c>
      <c r="G1" s="66" t="inlineStr">
        <is>
          <t>Citas elegibles</t>
        </is>
      </c>
      <c r="H1" s="66" t="inlineStr">
        <is>
          <t>Consultas</t>
        </is>
      </c>
      <c r="I1" s="66" t="inlineStr">
        <is>
          <t>¿Hubo atención normal?</t>
        </is>
      </c>
      <c r="J1" s="66" t="inlineStr">
        <is>
          <t>Incidencias (feriado, cierre, cambio de personal, falla del sistema)</t>
        </is>
      </c>
    </row>
    <row r="2">
      <c r="A2" s="67" t="inlineStr">
        <is>
          <t>PRE</t>
        </is>
      </c>
      <c r="B2" s="67" t="n">
        <v>1</v>
      </c>
      <c r="C2" s="70">
        <f>Sesiones!B2</f>
        <v/>
      </c>
      <c r="D2" s="68" t="n"/>
      <c r="E2" s="68" t="n"/>
      <c r="F2" s="67">
        <f>Sesiones!J2</f>
        <v/>
      </c>
      <c r="G2" s="67">
        <f>Sesiones!K2</f>
        <v/>
      </c>
      <c r="H2" s="67">
        <f>Sesiones!L2</f>
        <v/>
      </c>
      <c r="I2" s="68" t="n"/>
      <c r="J2" s="68" t="n"/>
    </row>
    <row r="3">
      <c r="A3" s="67" t="inlineStr">
        <is>
          <t>PRE</t>
        </is>
      </c>
      <c r="B3" s="67" t="n">
        <v>2</v>
      </c>
      <c r="C3" s="70">
        <f>Sesiones!B3</f>
        <v/>
      </c>
      <c r="D3" s="68" t="n"/>
      <c r="E3" s="68" t="n"/>
      <c r="F3" s="67">
        <f>Sesiones!J3</f>
        <v/>
      </c>
      <c r="G3" s="67">
        <f>Sesiones!K3</f>
        <v/>
      </c>
      <c r="H3" s="67">
        <f>Sesiones!L3</f>
        <v/>
      </c>
      <c r="I3" s="68" t="n"/>
      <c r="J3" s="68" t="n"/>
    </row>
    <row r="4">
      <c r="A4" s="67" t="inlineStr">
        <is>
          <t>PRE</t>
        </is>
      </c>
      <c r="B4" s="67" t="n">
        <v>3</v>
      </c>
      <c r="C4" s="70">
        <f>Sesiones!B4</f>
        <v/>
      </c>
      <c r="D4" s="68" t="n"/>
      <c r="E4" s="68" t="n"/>
      <c r="F4" s="67">
        <f>Sesiones!J4</f>
        <v/>
      </c>
      <c r="G4" s="67">
        <f>Sesiones!K4</f>
        <v/>
      </c>
      <c r="H4" s="67">
        <f>Sesiones!L4</f>
        <v/>
      </c>
      <c r="I4" s="68" t="n"/>
      <c r="J4" s="68" t="n"/>
    </row>
    <row r="5">
      <c r="A5" s="67" t="inlineStr">
        <is>
          <t>PRE</t>
        </is>
      </c>
      <c r="B5" s="67" t="n">
        <v>4</v>
      </c>
      <c r="C5" s="70">
        <f>Sesiones!B5</f>
        <v/>
      </c>
      <c r="D5" s="68" t="n"/>
      <c r="E5" s="68" t="n"/>
      <c r="F5" s="67">
        <f>Sesiones!J5</f>
        <v/>
      </c>
      <c r="G5" s="67">
        <f>Sesiones!K5</f>
        <v/>
      </c>
      <c r="H5" s="67">
        <f>Sesiones!L5</f>
        <v/>
      </c>
      <c r="I5" s="68" t="n"/>
      <c r="J5" s="68" t="n"/>
    </row>
    <row r="6">
      <c r="A6" s="67" t="inlineStr">
        <is>
          <t>PRE</t>
        </is>
      </c>
      <c r="B6" s="67" t="n">
        <v>5</v>
      </c>
      <c r="C6" s="70">
        <f>Sesiones!B6</f>
        <v/>
      </c>
      <c r="D6" s="68" t="n"/>
      <c r="E6" s="68" t="n"/>
      <c r="F6" s="67">
        <f>Sesiones!J6</f>
        <v/>
      </c>
      <c r="G6" s="67">
        <f>Sesiones!K6</f>
        <v/>
      </c>
      <c r="H6" s="67">
        <f>Sesiones!L6</f>
        <v/>
      </c>
      <c r="I6" s="68" t="n"/>
      <c r="J6" s="68" t="n"/>
    </row>
    <row r="7">
      <c r="A7" s="67" t="inlineStr">
        <is>
          <t>PRE</t>
        </is>
      </c>
      <c r="B7" s="67" t="n">
        <v>6</v>
      </c>
      <c r="C7" s="70">
        <f>Sesiones!B7</f>
        <v/>
      </c>
      <c r="D7" s="68" t="n"/>
      <c r="E7" s="68" t="n"/>
      <c r="F7" s="67">
        <f>Sesiones!J7</f>
        <v/>
      </c>
      <c r="G7" s="67">
        <f>Sesiones!K7</f>
        <v/>
      </c>
      <c r="H7" s="67">
        <f>Sesiones!L7</f>
        <v/>
      </c>
      <c r="I7" s="68" t="n"/>
      <c r="J7" s="68" t="n"/>
    </row>
    <row r="8">
      <c r="A8" s="67" t="inlineStr">
        <is>
          <t>PRE</t>
        </is>
      </c>
      <c r="B8" s="67" t="n">
        <v>7</v>
      </c>
      <c r="C8" s="70">
        <f>Sesiones!B8</f>
        <v/>
      </c>
      <c r="D8" s="68" t="n"/>
      <c r="E8" s="68" t="n"/>
      <c r="F8" s="67">
        <f>Sesiones!J8</f>
        <v/>
      </c>
      <c r="G8" s="67">
        <f>Sesiones!K8</f>
        <v/>
      </c>
      <c r="H8" s="67">
        <f>Sesiones!L8</f>
        <v/>
      </c>
      <c r="I8" s="68" t="n"/>
      <c r="J8" s="68" t="n"/>
    </row>
    <row r="9">
      <c r="A9" s="67" t="inlineStr">
        <is>
          <t>PRE</t>
        </is>
      </c>
      <c r="B9" s="67" t="n">
        <v>8</v>
      </c>
      <c r="C9" s="70">
        <f>Sesiones!B9</f>
        <v/>
      </c>
      <c r="D9" s="68" t="n"/>
      <c r="E9" s="68" t="n"/>
      <c r="F9" s="67">
        <f>Sesiones!J9</f>
        <v/>
      </c>
      <c r="G9" s="67">
        <f>Sesiones!K9</f>
        <v/>
      </c>
      <c r="H9" s="67">
        <f>Sesiones!L9</f>
        <v/>
      </c>
      <c r="I9" s="68" t="n"/>
      <c r="J9" s="68" t="n"/>
    </row>
    <row r="10">
      <c r="A10" s="67" t="inlineStr">
        <is>
          <t>PRE</t>
        </is>
      </c>
      <c r="B10" s="67" t="n">
        <v>9</v>
      </c>
      <c r="C10" s="70">
        <f>Sesiones!B10</f>
        <v/>
      </c>
      <c r="D10" s="68" t="n"/>
      <c r="E10" s="68" t="n"/>
      <c r="F10" s="67">
        <f>Sesiones!J10</f>
        <v/>
      </c>
      <c r="G10" s="67">
        <f>Sesiones!K10</f>
        <v/>
      </c>
      <c r="H10" s="67">
        <f>Sesiones!L10</f>
        <v/>
      </c>
      <c r="I10" s="68" t="n"/>
      <c r="J10" s="68" t="n"/>
    </row>
    <row r="11">
      <c r="A11" s="67" t="inlineStr">
        <is>
          <t>PRE</t>
        </is>
      </c>
      <c r="B11" s="67" t="n">
        <v>10</v>
      </c>
      <c r="C11" s="70">
        <f>Sesiones!B11</f>
        <v/>
      </c>
      <c r="D11" s="68" t="n"/>
      <c r="E11" s="68" t="n"/>
      <c r="F11" s="67">
        <f>Sesiones!J11</f>
        <v/>
      </c>
      <c r="G11" s="67">
        <f>Sesiones!K11</f>
        <v/>
      </c>
      <c r="H11" s="67">
        <f>Sesiones!L11</f>
        <v/>
      </c>
      <c r="I11" s="68" t="n"/>
      <c r="J11" s="68" t="n"/>
    </row>
    <row r="12">
      <c r="A12" s="67" t="inlineStr">
        <is>
          <t>PRE</t>
        </is>
      </c>
      <c r="B12" s="67" t="n">
        <v>11</v>
      </c>
      <c r="C12" s="70">
        <f>Sesiones!B12</f>
        <v/>
      </c>
      <c r="D12" s="68" t="n"/>
      <c r="E12" s="68" t="n"/>
      <c r="F12" s="67">
        <f>Sesiones!J12</f>
        <v/>
      </c>
      <c r="G12" s="67">
        <f>Sesiones!K12</f>
        <v/>
      </c>
      <c r="H12" s="67">
        <f>Sesiones!L12</f>
        <v/>
      </c>
      <c r="I12" s="68" t="n"/>
      <c r="J12" s="68" t="n"/>
    </row>
    <row r="13">
      <c r="A13" s="67" t="inlineStr">
        <is>
          <t>PRE</t>
        </is>
      </c>
      <c r="B13" s="67" t="n">
        <v>12</v>
      </c>
      <c r="C13" s="70">
        <f>Sesiones!B13</f>
        <v/>
      </c>
      <c r="D13" s="68" t="n"/>
      <c r="E13" s="68" t="n"/>
      <c r="F13" s="67">
        <f>Sesiones!J13</f>
        <v/>
      </c>
      <c r="G13" s="67">
        <f>Sesiones!K13</f>
        <v/>
      </c>
      <c r="H13" s="67">
        <f>Sesiones!L13</f>
        <v/>
      </c>
      <c r="I13" s="68" t="n"/>
      <c r="J13" s="68" t="n"/>
    </row>
    <row r="14">
      <c r="A14" s="67" t="inlineStr">
        <is>
          <t>PRE</t>
        </is>
      </c>
      <c r="B14" s="67" t="n">
        <v>13</v>
      </c>
      <c r="C14" s="70">
        <f>Sesiones!B14</f>
        <v/>
      </c>
      <c r="D14" s="68" t="n"/>
      <c r="E14" s="68" t="n"/>
      <c r="F14" s="67">
        <f>Sesiones!J14</f>
        <v/>
      </c>
      <c r="G14" s="67">
        <f>Sesiones!K14</f>
        <v/>
      </c>
      <c r="H14" s="67">
        <f>Sesiones!L14</f>
        <v/>
      </c>
      <c r="I14" s="68" t="n"/>
      <c r="J14" s="68" t="n"/>
    </row>
    <row r="15">
      <c r="A15" s="67" t="inlineStr">
        <is>
          <t>POST</t>
        </is>
      </c>
      <c r="B15" s="67" t="n">
        <v>1</v>
      </c>
      <c r="C15" s="70">
        <f>Sesiones!F2</f>
        <v/>
      </c>
      <c r="D15" s="68" t="n"/>
      <c r="E15" s="68" t="n"/>
      <c r="F15" s="67">
        <f>Sesiones!M2</f>
        <v/>
      </c>
      <c r="G15" s="67">
        <f>Sesiones!N2</f>
        <v/>
      </c>
      <c r="H15" s="67">
        <f>Sesiones!O2</f>
        <v/>
      </c>
      <c r="I15" s="68" t="n"/>
      <c r="J15" s="68" t="n"/>
    </row>
    <row r="16">
      <c r="A16" s="67" t="inlineStr">
        <is>
          <t>POST</t>
        </is>
      </c>
      <c r="B16" s="67" t="n">
        <v>2</v>
      </c>
      <c r="C16" s="70">
        <f>Sesiones!F3</f>
        <v/>
      </c>
      <c r="D16" s="68" t="n"/>
      <c r="E16" s="68" t="n"/>
      <c r="F16" s="67">
        <f>Sesiones!M3</f>
        <v/>
      </c>
      <c r="G16" s="67">
        <f>Sesiones!N3</f>
        <v/>
      </c>
      <c r="H16" s="67">
        <f>Sesiones!O3</f>
        <v/>
      </c>
      <c r="I16" s="68" t="n"/>
      <c r="J16" s="68" t="n"/>
    </row>
    <row r="17">
      <c r="A17" s="67" t="inlineStr">
        <is>
          <t>POST</t>
        </is>
      </c>
      <c r="B17" s="67" t="n">
        <v>3</v>
      </c>
      <c r="C17" s="70">
        <f>Sesiones!F4</f>
        <v/>
      </c>
      <c r="D17" s="68" t="n"/>
      <c r="E17" s="68" t="n"/>
      <c r="F17" s="67">
        <f>Sesiones!M4</f>
        <v/>
      </c>
      <c r="G17" s="67">
        <f>Sesiones!N4</f>
        <v/>
      </c>
      <c r="H17" s="67">
        <f>Sesiones!O4</f>
        <v/>
      </c>
      <c r="I17" s="68" t="n"/>
      <c r="J17" s="68" t="n"/>
    </row>
    <row r="18">
      <c r="A18" s="67" t="inlineStr">
        <is>
          <t>POST</t>
        </is>
      </c>
      <c r="B18" s="67" t="n">
        <v>4</v>
      </c>
      <c r="C18" s="70">
        <f>Sesiones!F5</f>
        <v/>
      </c>
      <c r="D18" s="68" t="n"/>
      <c r="E18" s="68" t="n"/>
      <c r="F18" s="67">
        <f>Sesiones!M5</f>
        <v/>
      </c>
      <c r="G18" s="67">
        <f>Sesiones!N5</f>
        <v/>
      </c>
      <c r="H18" s="67">
        <f>Sesiones!O5</f>
        <v/>
      </c>
      <c r="I18" s="68" t="n"/>
      <c r="J18" s="68" t="n"/>
    </row>
    <row r="19">
      <c r="A19" s="67" t="inlineStr">
        <is>
          <t>POST</t>
        </is>
      </c>
      <c r="B19" s="67" t="n">
        <v>5</v>
      </c>
      <c r="C19" s="70">
        <f>Sesiones!F6</f>
        <v/>
      </c>
      <c r="D19" s="68" t="n"/>
      <c r="E19" s="68" t="n"/>
      <c r="F19" s="67">
        <f>Sesiones!M6</f>
        <v/>
      </c>
      <c r="G19" s="67">
        <f>Sesiones!N6</f>
        <v/>
      </c>
      <c r="H19" s="67">
        <f>Sesiones!O6</f>
        <v/>
      </c>
      <c r="I19" s="68" t="n"/>
      <c r="J19" s="68" t="n"/>
    </row>
    <row r="20">
      <c r="A20" s="67" t="inlineStr">
        <is>
          <t>POST</t>
        </is>
      </c>
      <c r="B20" s="67" t="n">
        <v>6</v>
      </c>
      <c r="C20" s="70">
        <f>Sesiones!F7</f>
        <v/>
      </c>
      <c r="D20" s="68" t="n"/>
      <c r="E20" s="68" t="n"/>
      <c r="F20" s="67">
        <f>Sesiones!M7</f>
        <v/>
      </c>
      <c r="G20" s="67">
        <f>Sesiones!N7</f>
        <v/>
      </c>
      <c r="H20" s="67">
        <f>Sesiones!O7</f>
        <v/>
      </c>
      <c r="I20" s="68" t="n"/>
      <c r="J20" s="68" t="n"/>
    </row>
    <row r="21">
      <c r="A21" s="67" t="inlineStr">
        <is>
          <t>POST</t>
        </is>
      </c>
      <c r="B21" s="67" t="n">
        <v>7</v>
      </c>
      <c r="C21" s="70">
        <f>Sesiones!F8</f>
        <v/>
      </c>
      <c r="D21" s="68" t="n"/>
      <c r="E21" s="68" t="n"/>
      <c r="F21" s="67">
        <f>Sesiones!M8</f>
        <v/>
      </c>
      <c r="G21" s="67">
        <f>Sesiones!N8</f>
        <v/>
      </c>
      <c r="H21" s="67">
        <f>Sesiones!O8</f>
        <v/>
      </c>
      <c r="I21" s="68" t="n"/>
      <c r="J21" s="68" t="n"/>
    </row>
    <row r="22">
      <c r="A22" s="67" t="inlineStr">
        <is>
          <t>POST</t>
        </is>
      </c>
      <c r="B22" s="67" t="n">
        <v>8</v>
      </c>
      <c r="C22" s="70">
        <f>Sesiones!F9</f>
        <v/>
      </c>
      <c r="D22" s="68" t="n"/>
      <c r="E22" s="68" t="n"/>
      <c r="F22" s="67">
        <f>Sesiones!M9</f>
        <v/>
      </c>
      <c r="G22" s="67">
        <f>Sesiones!N9</f>
        <v/>
      </c>
      <c r="H22" s="67">
        <f>Sesiones!O9</f>
        <v/>
      </c>
      <c r="I22" s="68" t="n"/>
      <c r="J22" s="68" t="n"/>
    </row>
    <row r="23">
      <c r="A23" s="67" t="inlineStr">
        <is>
          <t>POST</t>
        </is>
      </c>
      <c r="B23" s="67" t="n">
        <v>9</v>
      </c>
      <c r="C23" s="70">
        <f>Sesiones!F10</f>
        <v/>
      </c>
      <c r="D23" s="68" t="n"/>
      <c r="E23" s="68" t="n"/>
      <c r="F23" s="67">
        <f>Sesiones!M10</f>
        <v/>
      </c>
      <c r="G23" s="67">
        <f>Sesiones!N10</f>
        <v/>
      </c>
      <c r="H23" s="67">
        <f>Sesiones!O10</f>
        <v/>
      </c>
      <c r="I23" s="68" t="n"/>
      <c r="J23" s="68" t="n"/>
    </row>
    <row r="24">
      <c r="A24" s="67" t="inlineStr">
        <is>
          <t>POST</t>
        </is>
      </c>
      <c r="B24" s="67" t="n">
        <v>10</v>
      </c>
      <c r="C24" s="70">
        <f>Sesiones!F11</f>
        <v/>
      </c>
      <c r="D24" s="68" t="n"/>
      <c r="E24" s="68" t="n"/>
      <c r="F24" s="67">
        <f>Sesiones!M11</f>
        <v/>
      </c>
      <c r="G24" s="67">
        <f>Sesiones!N11</f>
        <v/>
      </c>
      <c r="H24" s="67">
        <f>Sesiones!O11</f>
        <v/>
      </c>
      <c r="I24" s="68" t="n"/>
      <c r="J24" s="68" t="n"/>
    </row>
    <row r="25">
      <c r="A25" s="67" t="inlineStr">
        <is>
          <t>POST</t>
        </is>
      </c>
      <c r="B25" s="67" t="n">
        <v>11</v>
      </c>
      <c r="C25" s="70">
        <f>Sesiones!F12</f>
        <v/>
      </c>
      <c r="D25" s="68" t="n"/>
      <c r="E25" s="68" t="n"/>
      <c r="F25" s="67">
        <f>Sesiones!M12</f>
        <v/>
      </c>
      <c r="G25" s="67">
        <f>Sesiones!N12</f>
        <v/>
      </c>
      <c r="H25" s="67">
        <f>Sesiones!O12</f>
        <v/>
      </c>
      <c r="I25" s="68" t="n"/>
      <c r="J25" s="68" t="n"/>
    </row>
    <row r="26">
      <c r="A26" s="67" t="inlineStr">
        <is>
          <t>POST</t>
        </is>
      </c>
      <c r="B26" s="67" t="n">
        <v>12</v>
      </c>
      <c r="C26" s="70">
        <f>Sesiones!F13</f>
        <v/>
      </c>
      <c r="D26" s="68" t="n"/>
      <c r="E26" s="68" t="n"/>
      <c r="F26" s="67">
        <f>Sesiones!M13</f>
        <v/>
      </c>
      <c r="G26" s="67">
        <f>Sesiones!N13</f>
        <v/>
      </c>
      <c r="H26" s="67">
        <f>Sesiones!O13</f>
        <v/>
      </c>
      <c r="I26" s="68" t="n"/>
      <c r="J26" s="68" t="n"/>
    </row>
    <row r="27">
      <c r="A27" s="67" t="inlineStr">
        <is>
          <t>POST</t>
        </is>
      </c>
      <c r="B27" s="67" t="n">
        <v>13</v>
      </c>
      <c r="C27" s="70">
        <f>Sesiones!F14</f>
        <v/>
      </c>
      <c r="D27" s="68" t="n"/>
      <c r="E27" s="68" t="n"/>
      <c r="F27" s="67">
        <f>Sesiones!M14</f>
        <v/>
      </c>
      <c r="G27" s="67">
        <f>Sesiones!N14</f>
        <v/>
      </c>
      <c r="H27" s="67">
        <f>Sesiones!O14</f>
        <v/>
      </c>
      <c r="I27" s="68" t="n"/>
      <c r="J27" s="68" t="n"/>
    </row>
  </sheetData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6" customWidth="1" style="26" min="2" max="4"/>
    <col width="40" customWidth="1" style="26" min="5" max="5"/>
    <col width="18" customWidth="1" style="27" min="6" max="6"/>
    <col width="18" customWidth="1" style="27" min="7" max="7"/>
    <col width="18" customWidth="1" style="27" min="8" max="8"/>
  </cols>
  <sheetData>
    <row r="1" ht="31.5" customHeight="1" s="27">
      <c r="A1" s="38" t="inlineStr">
        <is>
          <t>Indicador</t>
        </is>
      </c>
      <c r="B1" s="38" t="inlineStr">
        <is>
          <t>PRE
(promedio 13 sesiones)</t>
        </is>
      </c>
      <c r="C1" s="38" t="inlineStr">
        <is>
          <t>POST
(promedio 13 sesiones)</t>
        </is>
      </c>
      <c r="D1" s="38" t="inlineStr">
        <is>
          <t>Diferencia</t>
        </is>
      </c>
      <c r="E1" s="38" t="inlineStr">
        <is>
          <t>Dirección esperada</t>
        </is>
      </c>
      <c r="F1" s="42" t="inlineStr">
        <is>
          <t>Valor global PRE
(todos los eventos)</t>
        </is>
      </c>
      <c r="G1" s="42" t="inlineStr">
        <is>
          <t>Valor global POST
(todos los eventos)</t>
        </is>
      </c>
      <c r="H1" s="42" t="inlineStr">
        <is>
          <t>Pares
válidos</t>
        </is>
      </c>
    </row>
    <row r="2" ht="30" customHeight="1" s="27">
      <c r="A2" s="59" t="inlineStr">
        <is>
          <t>Tiempo Promedio de Registro (TPR, min)</t>
        </is>
      </c>
      <c r="B2" s="56">
        <f>IFERROR(AVERAGE(Sesiones!C2:C14),"")</f>
        <v/>
      </c>
      <c r="C2" s="56">
        <f>IFERROR(AVERAGE(Sesiones!G2:G14),"")</f>
        <v/>
      </c>
      <c r="D2" s="56">
        <f>IFERROR(C2-B2,"")</f>
        <v/>
      </c>
      <c r="E2" s="60" t="inlineStr">
        <is>
          <t>PRE &gt; POST (se espera reducción)</t>
        </is>
      </c>
      <c r="F2" s="61">
        <f>IFERROR(AVERAGE(TPR_PRE!F3:F202),"")</f>
        <v/>
      </c>
      <c r="G2" s="61">
        <f>IFERROR(AVERAGE(TPR_POST!F3:F202),"")</f>
        <v/>
      </c>
      <c r="H2" s="62">
        <f>COUNTIF(Sesiones!P2:P14,"Sí")</f>
        <v/>
      </c>
    </row>
    <row r="3" ht="30" customHeight="1" s="27">
      <c r="A3" s="59" t="inlineStr">
        <is>
          <t>Tasa de Ausentismo (%)</t>
        </is>
      </c>
      <c r="B3" s="57">
        <f>IFERROR(AVERAGE(Sesiones!D2:D14),"")</f>
        <v/>
      </c>
      <c r="C3" s="57">
        <f>IFERROR(AVERAGE(Sesiones!H2:H14),"")</f>
        <v/>
      </c>
      <c r="D3" s="57">
        <f>IFERROR(C3-B3,"")</f>
        <v/>
      </c>
      <c r="E3" s="60" t="inlineStr">
        <is>
          <t>PRE &gt; POST (se espera reducción)</t>
        </is>
      </c>
      <c r="F3" s="63">
        <f>IFERROR(COUNTIF(Ausentismo_PRE!E3:E202,"No asistió")/(COUNTIF(Ausentismo_PRE!E3:E202,"No asistió")+COUNTIF(Ausentismo_PRE!E3:E202,"Asistió")),"")</f>
        <v/>
      </c>
      <c r="G3" s="63">
        <f>IFERROR(COUNTIF(Ausentismo_POST!E3:E202,"No asistió")/(COUNTIF(Ausentismo_POST!E3:E202,"No asistió")+COUNTIF(Ausentismo_POST!E3:E202,"Asistió")),"")</f>
        <v/>
      </c>
      <c r="H3" s="62">
        <f>COUNTIF(Sesiones!Q2:Q14,"Sí")</f>
        <v/>
      </c>
    </row>
    <row r="4" ht="30" customHeight="1" s="27">
      <c r="A4" s="59" t="inlineStr">
        <is>
          <t>Nivel de Consultas Atendidas (%)</t>
        </is>
      </c>
      <c r="B4" s="57">
        <f>IFERROR(AVERAGE(Sesiones!E2:E14),"")</f>
        <v/>
      </c>
      <c r="C4" s="57">
        <f>IFERROR(AVERAGE(Sesiones!I2:I14),"")</f>
        <v/>
      </c>
      <c r="D4" s="57">
        <f>IFERROR(C4-B4,"")</f>
        <v/>
      </c>
      <c r="E4" s="60" t="inlineStr">
        <is>
          <t>POST &gt; PRE (se espera aumento)</t>
        </is>
      </c>
      <c r="F4" s="63">
        <f>IFERROR(COUNTIFS(Consultas_PRE!F3:F202,"Sí",Consultas_PRE!G3:G202,"No")/COUNT(Consultas_PRE!B3:B202),"")</f>
        <v/>
      </c>
      <c r="G4" s="63">
        <f>IFERROR(COUNTIFS(Consultas_POST!F3:F202,"Sí",Consultas_POST!G3:G202,"No")/COUNT(Consultas_POST!B3:B202),"")</f>
        <v/>
      </c>
      <c r="H4" s="62">
        <f>COUNTIF(Sesiones!R2:R14,"Sí")</f>
        <v/>
      </c>
    </row>
    <row r="6">
      <c r="A6" s="26" t="inlineStr">
        <is>
          <t>Los valores PRE y POST (columnas B y C) son el promedio de los valores por sesión; las columnas F y G calculan el indicador sobre el total de eventos de cada etapa. El contraste estadístico se realiza en SPSS con los pares válidos de la hoja Sesiones.</t>
        </is>
      </c>
    </row>
    <row r="7" ht="15" customHeight="1" s="27">
      <c r="A7" s="34" t="inlineStr">
        <is>
          <t>Los valores se calculan automáticamente a partir de la hoja Sesiones, que a su vez se alimenta de los registros reales ingresados en las hojas PRE/POST.</t>
        </is>
      </c>
    </row>
  </sheetData>
  <mergeCells count="1">
    <mergeCell ref="A7:E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27" min="1" max="1"/>
    <col width="12" customWidth="1" style="27" min="2" max="2"/>
    <col width="12" customWidth="1" style="27" min="3" max="3"/>
    <col width="10" customWidth="1" style="27" min="4" max="4"/>
    <col width="10" customWidth="1" style="27" min="5" max="5"/>
    <col width="10" customWidth="1" style="27" min="6" max="6"/>
    <col width="10" customWidth="1" style="27" min="7" max="7"/>
    <col width="10" customWidth="1" style="27" min="8" max="8"/>
    <col width="10" customWidth="1" style="27" min="9" max="9"/>
    <col width="10" customWidth="1" style="27" min="10" max="10"/>
  </cols>
  <sheetData>
    <row r="1">
      <c r="A1" s="72" t="inlineStr">
        <is>
          <t>par</t>
        </is>
      </c>
      <c r="B1" s="72" t="inlineStr">
        <is>
          <t>fecha_pre</t>
        </is>
      </c>
      <c r="C1" s="72" t="inlineStr">
        <is>
          <t>fecha_post</t>
        </is>
      </c>
      <c r="D1" s="72" t="inlineStr">
        <is>
          <t>mismo_dia</t>
        </is>
      </c>
      <c r="E1" s="72" t="inlineStr">
        <is>
          <t>tpr_pre</t>
        </is>
      </c>
      <c r="F1" s="72" t="inlineStr">
        <is>
          <t>tpr_post</t>
        </is>
      </c>
      <c r="G1" s="72" t="inlineStr">
        <is>
          <t>ta_pre</t>
        </is>
      </c>
      <c r="H1" s="72" t="inlineStr">
        <is>
          <t>ta_post</t>
        </is>
      </c>
      <c r="I1" s="72" t="inlineStr">
        <is>
          <t>nca_pre</t>
        </is>
      </c>
      <c r="J1" s="72" t="inlineStr">
        <is>
          <t>nca_post</t>
        </is>
      </c>
    </row>
    <row r="2">
      <c r="A2" s="73" t="n">
        <v>1</v>
      </c>
      <c r="B2" s="73">
        <f>TEXT(Sesiones!B2,"dd/mm/yyyy")</f>
        <v/>
      </c>
      <c r="C2" s="73">
        <f>TEXT(Sesiones!F2,"dd/mm/yyyy")</f>
        <v/>
      </c>
      <c r="D2" s="73">
        <f>IF(Sesiones!S2="Sí",1,0)</f>
        <v/>
      </c>
      <c r="E2" s="73">
        <f>IF(Sesiones!P2="Sí",ROUND(Sesiones!C2,2),"")</f>
        <v/>
      </c>
      <c r="F2" s="73">
        <f>IF(Sesiones!P2="Sí",ROUND(Sesiones!G2,2),"")</f>
        <v/>
      </c>
      <c r="G2" s="73">
        <f>IF(Sesiones!Q2="Sí",ROUND(Sesiones!D2*100,2),"")</f>
        <v/>
      </c>
      <c r="H2" s="73">
        <f>IF(Sesiones!Q2="Sí",ROUND(Sesiones!H2*100,2),"")</f>
        <v/>
      </c>
      <c r="I2" s="73">
        <f>IF(Sesiones!R2="Sí",ROUND(Sesiones!E2*100,2),"")</f>
        <v/>
      </c>
      <c r="J2" s="73">
        <f>IF(Sesiones!R2="Sí",ROUND(Sesiones!I2*100,2),"")</f>
        <v/>
      </c>
    </row>
    <row r="3">
      <c r="A3" s="73" t="n">
        <v>2</v>
      </c>
      <c r="B3" s="73">
        <f>TEXT(Sesiones!B3,"dd/mm/yyyy")</f>
        <v/>
      </c>
      <c r="C3" s="73">
        <f>TEXT(Sesiones!F3,"dd/mm/yyyy")</f>
        <v/>
      </c>
      <c r="D3" s="73">
        <f>IF(Sesiones!S3="Sí",1,0)</f>
        <v/>
      </c>
      <c r="E3" s="73">
        <f>IF(Sesiones!P3="Sí",ROUND(Sesiones!C3,2),"")</f>
        <v/>
      </c>
      <c r="F3" s="73">
        <f>IF(Sesiones!P3="Sí",ROUND(Sesiones!G3,2),"")</f>
        <v/>
      </c>
      <c r="G3" s="73">
        <f>IF(Sesiones!Q3="Sí",ROUND(Sesiones!D3*100,2),"")</f>
        <v/>
      </c>
      <c r="H3" s="73">
        <f>IF(Sesiones!Q3="Sí",ROUND(Sesiones!H3*100,2),"")</f>
        <v/>
      </c>
      <c r="I3" s="73">
        <f>IF(Sesiones!R3="Sí",ROUND(Sesiones!E3*100,2),"")</f>
        <v/>
      </c>
      <c r="J3" s="73">
        <f>IF(Sesiones!R3="Sí",ROUND(Sesiones!I3*100,2),"")</f>
        <v/>
      </c>
    </row>
    <row r="4">
      <c r="A4" s="73" t="n">
        <v>3</v>
      </c>
      <c r="B4" s="73">
        <f>TEXT(Sesiones!B4,"dd/mm/yyyy")</f>
        <v/>
      </c>
      <c r="C4" s="73">
        <f>TEXT(Sesiones!F4,"dd/mm/yyyy")</f>
        <v/>
      </c>
      <c r="D4" s="73">
        <f>IF(Sesiones!S4="Sí",1,0)</f>
        <v/>
      </c>
      <c r="E4" s="73">
        <f>IF(Sesiones!P4="Sí",ROUND(Sesiones!C4,2),"")</f>
        <v/>
      </c>
      <c r="F4" s="73">
        <f>IF(Sesiones!P4="Sí",ROUND(Sesiones!G4,2),"")</f>
        <v/>
      </c>
      <c r="G4" s="73">
        <f>IF(Sesiones!Q4="Sí",ROUND(Sesiones!D4*100,2),"")</f>
        <v/>
      </c>
      <c r="H4" s="73">
        <f>IF(Sesiones!Q4="Sí",ROUND(Sesiones!H4*100,2),"")</f>
        <v/>
      </c>
      <c r="I4" s="73">
        <f>IF(Sesiones!R4="Sí",ROUND(Sesiones!E4*100,2),"")</f>
        <v/>
      </c>
      <c r="J4" s="73">
        <f>IF(Sesiones!R4="Sí",ROUND(Sesiones!I4*100,2),"")</f>
        <v/>
      </c>
    </row>
    <row r="5">
      <c r="A5" s="73" t="n">
        <v>4</v>
      </c>
      <c r="B5" s="73">
        <f>TEXT(Sesiones!B5,"dd/mm/yyyy")</f>
        <v/>
      </c>
      <c r="C5" s="73">
        <f>TEXT(Sesiones!F5,"dd/mm/yyyy")</f>
        <v/>
      </c>
      <c r="D5" s="73">
        <f>IF(Sesiones!S5="Sí",1,0)</f>
        <v/>
      </c>
      <c r="E5" s="73">
        <f>IF(Sesiones!P5="Sí",ROUND(Sesiones!C5,2),"")</f>
        <v/>
      </c>
      <c r="F5" s="73">
        <f>IF(Sesiones!P5="Sí",ROUND(Sesiones!G5,2),"")</f>
        <v/>
      </c>
      <c r="G5" s="73">
        <f>IF(Sesiones!Q5="Sí",ROUND(Sesiones!D5*100,2),"")</f>
        <v/>
      </c>
      <c r="H5" s="73">
        <f>IF(Sesiones!Q5="Sí",ROUND(Sesiones!H5*100,2),"")</f>
        <v/>
      </c>
      <c r="I5" s="73">
        <f>IF(Sesiones!R5="Sí",ROUND(Sesiones!E5*100,2),"")</f>
        <v/>
      </c>
      <c r="J5" s="73">
        <f>IF(Sesiones!R5="Sí",ROUND(Sesiones!I5*100,2),"")</f>
        <v/>
      </c>
    </row>
    <row r="6">
      <c r="A6" s="73" t="n">
        <v>5</v>
      </c>
      <c r="B6" s="73">
        <f>TEXT(Sesiones!B6,"dd/mm/yyyy")</f>
        <v/>
      </c>
      <c r="C6" s="73">
        <f>TEXT(Sesiones!F6,"dd/mm/yyyy")</f>
        <v/>
      </c>
      <c r="D6" s="73">
        <f>IF(Sesiones!S6="Sí",1,0)</f>
        <v/>
      </c>
      <c r="E6" s="73">
        <f>IF(Sesiones!P6="Sí",ROUND(Sesiones!C6,2),"")</f>
        <v/>
      </c>
      <c r="F6" s="73">
        <f>IF(Sesiones!P6="Sí",ROUND(Sesiones!G6,2),"")</f>
        <v/>
      </c>
      <c r="G6" s="73">
        <f>IF(Sesiones!Q6="Sí",ROUND(Sesiones!D6*100,2),"")</f>
        <v/>
      </c>
      <c r="H6" s="73">
        <f>IF(Sesiones!Q6="Sí",ROUND(Sesiones!H6*100,2),"")</f>
        <v/>
      </c>
      <c r="I6" s="73">
        <f>IF(Sesiones!R6="Sí",ROUND(Sesiones!E6*100,2),"")</f>
        <v/>
      </c>
      <c r="J6" s="73">
        <f>IF(Sesiones!R6="Sí",ROUND(Sesiones!I6*100,2),"")</f>
        <v/>
      </c>
    </row>
    <row r="7">
      <c r="A7" s="73" t="n">
        <v>6</v>
      </c>
      <c r="B7" s="73">
        <f>TEXT(Sesiones!B7,"dd/mm/yyyy")</f>
        <v/>
      </c>
      <c r="C7" s="73">
        <f>TEXT(Sesiones!F7,"dd/mm/yyyy")</f>
        <v/>
      </c>
      <c r="D7" s="73">
        <f>IF(Sesiones!S7="Sí",1,0)</f>
        <v/>
      </c>
      <c r="E7" s="73">
        <f>IF(Sesiones!P7="Sí",ROUND(Sesiones!C7,2),"")</f>
        <v/>
      </c>
      <c r="F7" s="73">
        <f>IF(Sesiones!P7="Sí",ROUND(Sesiones!G7,2),"")</f>
        <v/>
      </c>
      <c r="G7" s="73">
        <f>IF(Sesiones!Q7="Sí",ROUND(Sesiones!D7*100,2),"")</f>
        <v/>
      </c>
      <c r="H7" s="73">
        <f>IF(Sesiones!Q7="Sí",ROUND(Sesiones!H7*100,2),"")</f>
        <v/>
      </c>
      <c r="I7" s="73">
        <f>IF(Sesiones!R7="Sí",ROUND(Sesiones!E7*100,2),"")</f>
        <v/>
      </c>
      <c r="J7" s="73">
        <f>IF(Sesiones!R7="Sí",ROUND(Sesiones!I7*100,2),"")</f>
        <v/>
      </c>
    </row>
    <row r="8">
      <c r="A8" s="73" t="n">
        <v>7</v>
      </c>
      <c r="B8" s="73">
        <f>TEXT(Sesiones!B8,"dd/mm/yyyy")</f>
        <v/>
      </c>
      <c r="C8" s="73">
        <f>TEXT(Sesiones!F8,"dd/mm/yyyy")</f>
        <v/>
      </c>
      <c r="D8" s="73">
        <f>IF(Sesiones!S8="Sí",1,0)</f>
        <v/>
      </c>
      <c r="E8" s="73">
        <f>IF(Sesiones!P8="Sí",ROUND(Sesiones!C8,2),"")</f>
        <v/>
      </c>
      <c r="F8" s="73">
        <f>IF(Sesiones!P8="Sí",ROUND(Sesiones!G8,2),"")</f>
        <v/>
      </c>
      <c r="G8" s="73">
        <f>IF(Sesiones!Q8="Sí",ROUND(Sesiones!D8*100,2),"")</f>
        <v/>
      </c>
      <c r="H8" s="73">
        <f>IF(Sesiones!Q8="Sí",ROUND(Sesiones!H8*100,2),"")</f>
        <v/>
      </c>
      <c r="I8" s="73">
        <f>IF(Sesiones!R8="Sí",ROUND(Sesiones!E8*100,2),"")</f>
        <v/>
      </c>
      <c r="J8" s="73">
        <f>IF(Sesiones!R8="Sí",ROUND(Sesiones!I8*100,2),"")</f>
        <v/>
      </c>
    </row>
    <row r="9">
      <c r="A9" s="73" t="n">
        <v>8</v>
      </c>
      <c r="B9" s="73">
        <f>TEXT(Sesiones!B9,"dd/mm/yyyy")</f>
        <v/>
      </c>
      <c r="C9" s="73">
        <f>TEXT(Sesiones!F9,"dd/mm/yyyy")</f>
        <v/>
      </c>
      <c r="D9" s="73">
        <f>IF(Sesiones!S9="Sí",1,0)</f>
        <v/>
      </c>
      <c r="E9" s="73">
        <f>IF(Sesiones!P9="Sí",ROUND(Sesiones!C9,2),"")</f>
        <v/>
      </c>
      <c r="F9" s="73">
        <f>IF(Sesiones!P9="Sí",ROUND(Sesiones!G9,2),"")</f>
        <v/>
      </c>
      <c r="G9" s="73">
        <f>IF(Sesiones!Q9="Sí",ROUND(Sesiones!D9*100,2),"")</f>
        <v/>
      </c>
      <c r="H9" s="73">
        <f>IF(Sesiones!Q9="Sí",ROUND(Sesiones!H9*100,2),"")</f>
        <v/>
      </c>
      <c r="I9" s="73">
        <f>IF(Sesiones!R9="Sí",ROUND(Sesiones!E9*100,2),"")</f>
        <v/>
      </c>
      <c r="J9" s="73">
        <f>IF(Sesiones!R9="Sí",ROUND(Sesiones!I9*100,2),"")</f>
        <v/>
      </c>
    </row>
    <row r="10">
      <c r="A10" s="73" t="n">
        <v>9</v>
      </c>
      <c r="B10" s="73">
        <f>TEXT(Sesiones!B10,"dd/mm/yyyy")</f>
        <v/>
      </c>
      <c r="C10" s="73">
        <f>TEXT(Sesiones!F10,"dd/mm/yyyy")</f>
        <v/>
      </c>
      <c r="D10" s="73">
        <f>IF(Sesiones!S10="Sí",1,0)</f>
        <v/>
      </c>
      <c r="E10" s="73">
        <f>IF(Sesiones!P10="Sí",ROUND(Sesiones!C10,2),"")</f>
        <v/>
      </c>
      <c r="F10" s="73">
        <f>IF(Sesiones!P10="Sí",ROUND(Sesiones!G10,2),"")</f>
        <v/>
      </c>
      <c r="G10" s="73">
        <f>IF(Sesiones!Q10="Sí",ROUND(Sesiones!D10*100,2),"")</f>
        <v/>
      </c>
      <c r="H10" s="73">
        <f>IF(Sesiones!Q10="Sí",ROUND(Sesiones!H10*100,2),"")</f>
        <v/>
      </c>
      <c r="I10" s="73">
        <f>IF(Sesiones!R10="Sí",ROUND(Sesiones!E10*100,2),"")</f>
        <v/>
      </c>
      <c r="J10" s="73">
        <f>IF(Sesiones!R10="Sí",ROUND(Sesiones!I10*100,2),"")</f>
        <v/>
      </c>
    </row>
    <row r="11">
      <c r="A11" s="73" t="n">
        <v>10</v>
      </c>
      <c r="B11" s="73">
        <f>TEXT(Sesiones!B11,"dd/mm/yyyy")</f>
        <v/>
      </c>
      <c r="C11" s="73">
        <f>TEXT(Sesiones!F11,"dd/mm/yyyy")</f>
        <v/>
      </c>
      <c r="D11" s="73">
        <f>IF(Sesiones!S11="Sí",1,0)</f>
        <v/>
      </c>
      <c r="E11" s="73">
        <f>IF(Sesiones!P11="Sí",ROUND(Sesiones!C11,2),"")</f>
        <v/>
      </c>
      <c r="F11" s="73">
        <f>IF(Sesiones!P11="Sí",ROUND(Sesiones!G11,2),"")</f>
        <v/>
      </c>
      <c r="G11" s="73">
        <f>IF(Sesiones!Q11="Sí",ROUND(Sesiones!D11*100,2),"")</f>
        <v/>
      </c>
      <c r="H11" s="73">
        <f>IF(Sesiones!Q11="Sí",ROUND(Sesiones!H11*100,2),"")</f>
        <v/>
      </c>
      <c r="I11" s="73">
        <f>IF(Sesiones!R11="Sí",ROUND(Sesiones!E11*100,2),"")</f>
        <v/>
      </c>
      <c r="J11" s="73">
        <f>IF(Sesiones!R11="Sí",ROUND(Sesiones!I11*100,2),"")</f>
        <v/>
      </c>
    </row>
    <row r="12">
      <c r="A12" s="73" t="n">
        <v>11</v>
      </c>
      <c r="B12" s="73">
        <f>TEXT(Sesiones!B12,"dd/mm/yyyy")</f>
        <v/>
      </c>
      <c r="C12" s="73">
        <f>TEXT(Sesiones!F12,"dd/mm/yyyy")</f>
        <v/>
      </c>
      <c r="D12" s="73">
        <f>IF(Sesiones!S12="Sí",1,0)</f>
        <v/>
      </c>
      <c r="E12" s="73">
        <f>IF(Sesiones!P12="Sí",ROUND(Sesiones!C12,2),"")</f>
        <v/>
      </c>
      <c r="F12" s="73">
        <f>IF(Sesiones!P12="Sí",ROUND(Sesiones!G12,2),"")</f>
        <v/>
      </c>
      <c r="G12" s="73">
        <f>IF(Sesiones!Q12="Sí",ROUND(Sesiones!D12*100,2),"")</f>
        <v/>
      </c>
      <c r="H12" s="73">
        <f>IF(Sesiones!Q12="Sí",ROUND(Sesiones!H12*100,2),"")</f>
        <v/>
      </c>
      <c r="I12" s="73">
        <f>IF(Sesiones!R12="Sí",ROUND(Sesiones!E12*100,2),"")</f>
        <v/>
      </c>
      <c r="J12" s="73">
        <f>IF(Sesiones!R12="Sí",ROUND(Sesiones!I12*100,2),"")</f>
        <v/>
      </c>
    </row>
    <row r="13">
      <c r="A13" s="73" t="n">
        <v>12</v>
      </c>
      <c r="B13" s="73">
        <f>TEXT(Sesiones!B13,"dd/mm/yyyy")</f>
        <v/>
      </c>
      <c r="C13" s="73">
        <f>TEXT(Sesiones!F13,"dd/mm/yyyy")</f>
        <v/>
      </c>
      <c r="D13" s="73">
        <f>IF(Sesiones!S13="Sí",1,0)</f>
        <v/>
      </c>
      <c r="E13" s="73">
        <f>IF(Sesiones!P13="Sí",ROUND(Sesiones!C13,2),"")</f>
        <v/>
      </c>
      <c r="F13" s="73">
        <f>IF(Sesiones!P13="Sí",ROUND(Sesiones!G13,2),"")</f>
        <v/>
      </c>
      <c r="G13" s="73">
        <f>IF(Sesiones!Q13="Sí",ROUND(Sesiones!D13*100,2),"")</f>
        <v/>
      </c>
      <c r="H13" s="73">
        <f>IF(Sesiones!Q13="Sí",ROUND(Sesiones!H13*100,2),"")</f>
        <v/>
      </c>
      <c r="I13" s="73">
        <f>IF(Sesiones!R13="Sí",ROUND(Sesiones!E13*100,2),"")</f>
        <v/>
      </c>
      <c r="J13" s="73">
        <f>IF(Sesiones!R13="Sí",ROUND(Sesiones!I13*100,2),"")</f>
        <v/>
      </c>
    </row>
    <row r="14">
      <c r="A14" s="73" t="n">
        <v>13</v>
      </c>
      <c r="B14" s="73">
        <f>TEXT(Sesiones!B14,"dd/mm/yyyy")</f>
        <v/>
      </c>
      <c r="C14" s="73">
        <f>TEXT(Sesiones!F14,"dd/mm/yyyy")</f>
        <v/>
      </c>
      <c r="D14" s="73">
        <f>IF(Sesiones!S14="Sí",1,0)</f>
        <v/>
      </c>
      <c r="E14" s="73">
        <f>IF(Sesiones!P14="Sí",ROUND(Sesiones!C14,2),"")</f>
        <v/>
      </c>
      <c r="F14" s="73">
        <f>IF(Sesiones!P14="Sí",ROUND(Sesiones!G14,2),"")</f>
        <v/>
      </c>
      <c r="G14" s="73">
        <f>IF(Sesiones!Q14="Sí",ROUND(Sesiones!D14*100,2),"")</f>
        <v/>
      </c>
      <c r="H14" s="73">
        <f>IF(Sesiones!Q14="Sí",ROUND(Sesiones!H14*100,2),"")</f>
        <v/>
      </c>
      <c r="I14" s="73">
        <f>IF(Sesiones!R14="Sí",ROUND(Sesiones!E14*100,2),"")</f>
        <v/>
      </c>
      <c r="J14" s="73">
        <f>IF(Sesiones!R14="Sí",ROUND(Sesiones!I14*100,2),"")</f>
        <v/>
      </c>
    </row>
    <row r="16">
      <c r="A16" s="65" t="inlineStr">
        <is>
          <t>Hoja generada automáticamente. No la edite. TPR en minutos; TA y NCA en porcentaje. Las celdas vacías indican pares no válidos (sin eventos en alguna etapa). La sintaxis Analisis_SPSS.sps importa esta hoja.</t>
        </is>
      </c>
    </row>
    <row r="17"/>
    <row r="18"/>
  </sheetData>
  <mergeCells count="1">
    <mergeCell ref="A16:J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16" customWidth="1" style="27" min="2" max="2"/>
    <col width="16" customWidth="1" style="27" min="3" max="3"/>
    <col width="16" customWidth="1" style="27" min="4" max="4"/>
    <col width="16" customWidth="1" style="27" min="5" max="5"/>
    <col width="16" customWidth="1" style="27" min="6" max="6"/>
    <col width="16" customWidth="1" style="27" min="7" max="7"/>
    <col width="16" customWidth="1" style="27" min="8" max="8"/>
  </cols>
  <sheetData>
    <row r="1">
      <c r="A1" s="66" t="inlineStr">
        <is>
          <t>Hoja</t>
        </is>
      </c>
      <c r="B1" s="66" t="inlineStr">
        <is>
          <t>Registros</t>
        </is>
      </c>
      <c r="C1" s="66" t="inlineStr">
        <is>
          <t>OK</t>
        </is>
      </c>
      <c r="D1" s="66" t="inlineStr">
        <is>
          <t>Faltan datos</t>
        </is>
      </c>
      <c r="E1" s="66" t="inlineStr">
        <is>
          <t>Código no registrado</t>
        </is>
      </c>
      <c r="F1" s="66" t="inlineStr">
        <is>
          <t>Tiempo no válido</t>
        </is>
      </c>
      <c r="G1" s="66" t="inlineStr">
        <is>
          <t>Revisar (&gt; 60 min)</t>
        </is>
      </c>
      <c r="H1" s="66" t="inlineStr">
        <is>
          <t>Contradicción</t>
        </is>
      </c>
    </row>
    <row r="2">
      <c r="A2" s="71" t="inlineStr">
        <is>
          <t>TPR_PRE</t>
        </is>
      </c>
      <c r="B2" s="67">
        <f>COUNT(TPR_PRE!B3:B202)</f>
        <v/>
      </c>
      <c r="C2" s="67">
        <f>COUNTIF(TPR_PRE!H3:H202,"OK")</f>
        <v/>
      </c>
      <c r="D2" s="67">
        <f>COUNTIF(TPR_PRE!H3:H202,"Faltan datos")</f>
        <v/>
      </c>
      <c r="E2" s="67">
        <f>COUNTIF(TPR_PRE!H3:H202,"Código no registrado")</f>
        <v/>
      </c>
      <c r="F2" s="67">
        <f>COUNTIF(TPR_PRE!H3:H202,"Tiempo no válido")</f>
        <v/>
      </c>
      <c r="G2" s="67">
        <f>COUNTIF(TPR_PRE!H3:H202,"Revisar: más de 60 min")</f>
        <v/>
      </c>
      <c r="H2" s="67">
        <f>COUNTIF(TPR_PRE!H3:H202,"Contradicción: resuelta y derivada")</f>
        <v/>
      </c>
    </row>
    <row r="3">
      <c r="A3" s="71" t="inlineStr">
        <is>
          <t>TPR_POST</t>
        </is>
      </c>
      <c r="B3" s="67">
        <f>COUNT(TPR_POST!B3:B202)</f>
        <v/>
      </c>
      <c r="C3" s="67">
        <f>COUNTIF(TPR_POST!H3:H202,"OK")</f>
        <v/>
      </c>
      <c r="D3" s="67">
        <f>COUNTIF(TPR_POST!H3:H202,"Faltan datos")</f>
        <v/>
      </c>
      <c r="E3" s="67">
        <f>COUNTIF(TPR_POST!H3:H202,"Código no registrado")</f>
        <v/>
      </c>
      <c r="F3" s="67">
        <f>COUNTIF(TPR_POST!H3:H202,"Tiempo no válido")</f>
        <v/>
      </c>
      <c r="G3" s="67">
        <f>COUNTIF(TPR_POST!H3:H202,"Revisar: más de 60 min")</f>
        <v/>
      </c>
      <c r="H3" s="67">
        <f>COUNTIF(TPR_POST!H3:H202,"Contradicción: resuelta y derivada")</f>
        <v/>
      </c>
    </row>
    <row r="4">
      <c r="A4" s="71" t="inlineStr">
        <is>
          <t>Ausentismo_PRE</t>
        </is>
      </c>
      <c r="B4" s="67">
        <f>COUNT(Ausentismo_PRE!B3:B202)</f>
        <v/>
      </c>
      <c r="C4" s="67">
        <f>COUNTIF(Ausentismo_PRE!H3:H202,"OK")</f>
        <v/>
      </c>
      <c r="D4" s="67">
        <f>COUNTIF(Ausentismo_PRE!H3:H202,"Faltan datos")</f>
        <v/>
      </c>
      <c r="E4" s="67">
        <f>COUNTIF(Ausentismo_PRE!H3:H202,"Código no registrado")</f>
        <v/>
      </c>
      <c r="F4" s="67">
        <f>COUNTIF(Ausentismo_PRE!H3:H202,"Tiempo no válido")</f>
        <v/>
      </c>
      <c r="G4" s="67">
        <f>COUNTIF(Ausentismo_PRE!H3:H202,"Revisar: más de 60 min")</f>
        <v/>
      </c>
      <c r="H4" s="67">
        <f>COUNTIF(Ausentismo_PRE!H3:H202,"Contradicción: resuelta y derivada")</f>
        <v/>
      </c>
    </row>
    <row r="5">
      <c r="A5" s="71" t="inlineStr">
        <is>
          <t>Ausentismo_POST</t>
        </is>
      </c>
      <c r="B5" s="67">
        <f>COUNT(Ausentismo_POST!B3:B202)</f>
        <v/>
      </c>
      <c r="C5" s="67">
        <f>COUNTIF(Ausentismo_POST!H3:H202,"OK")</f>
        <v/>
      </c>
      <c r="D5" s="67">
        <f>COUNTIF(Ausentismo_POST!H3:H202,"Faltan datos")</f>
        <v/>
      </c>
      <c r="E5" s="67">
        <f>COUNTIF(Ausentismo_POST!H3:H202,"Código no registrado")</f>
        <v/>
      </c>
      <c r="F5" s="67">
        <f>COUNTIF(Ausentismo_POST!H3:H202,"Tiempo no válido")</f>
        <v/>
      </c>
      <c r="G5" s="67">
        <f>COUNTIF(Ausentismo_POST!H3:H202,"Revisar: más de 60 min")</f>
        <v/>
      </c>
      <c r="H5" s="67">
        <f>COUNTIF(Ausentismo_POST!H3:H202,"Contradicción: resuelta y derivada")</f>
        <v/>
      </c>
    </row>
    <row r="6">
      <c r="A6" s="71" t="inlineStr">
        <is>
          <t>Consultas_PRE</t>
        </is>
      </c>
      <c r="B6" s="67">
        <f>COUNT(Consultas_PRE!B3:B202)</f>
        <v/>
      </c>
      <c r="C6" s="67">
        <f>COUNTIF(Consultas_PRE!I3:I202,"OK")</f>
        <v/>
      </c>
      <c r="D6" s="67">
        <f>COUNTIF(Consultas_PRE!I3:I202,"Faltan datos")</f>
        <v/>
      </c>
      <c r="E6" s="67">
        <f>COUNTIF(Consultas_PRE!I3:I202,"Código no registrado")</f>
        <v/>
      </c>
      <c r="F6" s="67">
        <f>COUNTIF(Consultas_PRE!I3:I202,"Tiempo no válido")</f>
        <v/>
      </c>
      <c r="G6" s="67">
        <f>COUNTIF(Consultas_PRE!I3:I202,"Revisar: más de 60 min")</f>
        <v/>
      </c>
      <c r="H6" s="67">
        <f>COUNTIF(Consultas_PRE!I3:I202,"Contradicción: resuelta y derivada")</f>
        <v/>
      </c>
    </row>
    <row r="7">
      <c r="A7" s="71" t="inlineStr">
        <is>
          <t>Consultas_POST</t>
        </is>
      </c>
      <c r="B7" s="67">
        <f>COUNT(Consultas_POST!B3:B202)</f>
        <v/>
      </c>
      <c r="C7" s="67">
        <f>COUNTIF(Consultas_POST!I3:I202,"OK")</f>
        <v/>
      </c>
      <c r="D7" s="67">
        <f>COUNTIF(Consultas_POST!I3:I202,"Faltan datos")</f>
        <v/>
      </c>
      <c r="E7" s="67">
        <f>COUNTIF(Consultas_POST!I3:I202,"Código no registrado")</f>
        <v/>
      </c>
      <c r="F7" s="67">
        <f>COUNTIF(Consultas_POST!I3:I202,"Tiempo no válido")</f>
        <v/>
      </c>
      <c r="G7" s="67">
        <f>COUNTIF(Consultas_POST!I3:I202,"Revisar: más de 60 min")</f>
        <v/>
      </c>
      <c r="H7" s="67">
        <f>COUNTIF(Consultas_POST!I3:I202,"Contradicción: resuelta y derivada")</f>
        <v/>
      </c>
    </row>
    <row r="8">
      <c r="A8" s="26" t="inlineStr">
        <is>
          <t>Consentimientos</t>
        </is>
      </c>
      <c r="B8" s="26">
        <f>COUNTIF(Consentimientos!B2:B46,"Sí")</f>
        <v/>
      </c>
      <c r="C8" s="26">
        <f>COUNTIF(Consentimientos!G2:G46,"OK")</f>
        <v/>
      </c>
      <c r="D8" s="26">
        <f>COUNTIF(Consentimientos!G2:G46,"Falta fecha de firma")+COUNTIF(Consentimientos!G2:G46,"Sin consentimiento*")</f>
        <v/>
      </c>
    </row>
    <row r="10" ht="30" customHeight="1" s="27">
      <c r="A10" s="65" t="inlineStr">
        <is>
          <t>Regla: antes de pasar los datos a SPSS, todas las filas deben estar en "OK" o tener su corrección documentada. "Revisar" no implica excluir: se verifica contra la fuente y se conserva si es real.</t>
        </is>
      </c>
    </row>
    <row r="11"/>
  </sheetData>
  <mergeCells count="1">
    <mergeCell ref="A10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2026-09-26T20:21:08Z</dcterms:created>
  <dcterms:modified xmlns:dcterms="http://purl.org/dc/terms/" xmlns:xsi="http://www.w3.org/2001/XMLSchema-instance" xsi:type="dcterms:W3CDTF">2026-09-26T22:00:52Z</dcterms:modified>
  <cp:revision>0</cp:revision>
</cp:coreProperties>
</file>