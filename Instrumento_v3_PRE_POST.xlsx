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1" activeTab="1" autoFilterDateGrouping="1"/>
  </bookViews>
  <sheets>
    <sheet xmlns:r="http://schemas.openxmlformats.org/officeDocument/2006/relationships" name="Listas" sheetId="1" state="hidden" r:id="rId1"/>
    <sheet xmlns:r="http://schemas.openxmlformats.org/officeDocument/2006/relationships" name="Configuracion" sheetId="2" state="visible" r:id="rId2"/>
    <sheet xmlns:r="http://schemas.openxmlformats.org/officeDocument/2006/relationships" name="Pacientes" sheetId="3" state="visible" r:id="rId3"/>
    <sheet xmlns:r="http://schemas.openxmlformats.org/officeDocument/2006/relationships" name="Verificacion_VI" sheetId="4" state="visible" r:id="rId4"/>
    <sheet xmlns:r="http://schemas.openxmlformats.org/officeDocument/2006/relationships" name="TPR_PRE" sheetId="5" state="visible" r:id="rId5"/>
    <sheet xmlns:r="http://schemas.openxmlformats.org/officeDocument/2006/relationships" name="TPR_POST" sheetId="6" state="visible" r:id="rId6"/>
    <sheet xmlns:r="http://schemas.openxmlformats.org/officeDocument/2006/relationships" name="Ausentismo_PRE" sheetId="7" state="visible" r:id="rId7"/>
    <sheet xmlns:r="http://schemas.openxmlformats.org/officeDocument/2006/relationships" name="Ausentismo_POST" sheetId="8" state="visible" r:id="rId8"/>
    <sheet xmlns:r="http://schemas.openxmlformats.org/officeDocument/2006/relationships" name="Consultas_PRE" sheetId="9" state="visible" r:id="rId9"/>
    <sheet xmlns:r="http://schemas.openxmlformats.org/officeDocument/2006/relationships" name="Consultas_POST" sheetId="10" state="visible" r:id="rId10"/>
    <sheet xmlns:r="http://schemas.openxmlformats.org/officeDocument/2006/relationships" name="Sesiones" sheetId="11" state="visible" r:id="rId11"/>
    <sheet xmlns:r="http://schemas.openxmlformats.org/officeDocument/2006/relationships" name="Resumen_PRE_POST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hh:mm:ss"/>
    <numFmt numFmtId="166" formatCode="0.0"/>
    <numFmt numFmtId="167" formatCode="0.0%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F4E78"/>
      <sz val="12"/>
    </font>
    <font>
      <name val="Arial"/>
      <charset val="1"/>
      <family val="0"/>
      <i val="1"/>
      <color rgb="FFC0000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595959"/>
      <sz val="9"/>
    </font>
    <font>
      <name val="Arial"/>
      <charset val="1"/>
      <family val="0"/>
      <i val="1"/>
      <sz val="9"/>
    </font>
    <font>
      <b val="1"/>
      <color rgb="002E75B6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D9E1F2"/>
        <bgColor rgb="FFEDEDE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4" fillId="0" borderId="0" pivotButton="0" quotePrefix="0" xfId="0"/>
    <xf numFmtId="164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3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7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/>
    </xf>
    <xf numFmtId="0" fontId="4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left" vertical="center" wrapText="1"/>
    </xf>
    <xf numFmtId="166" fontId="0" fillId="7" borderId="2" pivotButton="0" quotePrefix="0" xfId="0"/>
    <xf numFmtId="1" fontId="0" fillId="7" borderId="2" pivotButton="0" quotePrefix="0" xfId="0"/>
    <xf numFmtId="167" fontId="0" fillId="7" borderId="2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6" min="1" max="2"/>
    <col width="8" customWidth="1" style="26" min="3" max="3"/>
    <col width="14" customWidth="1" style="26" min="4" max="4"/>
    <col width="26" customWidth="1" style="26" min="5" max="5"/>
    <col width="22" customWidth="1" style="26" min="6" max="6"/>
    <col width="6" customWidth="1" style="26" min="7" max="7"/>
    <col width="14" customWidth="1" style="26" min="8" max="8"/>
  </cols>
  <sheetData>
    <row r="1" ht="15" customHeight="1" s="27">
      <c r="A1" s="28" t="inlineStr">
        <is>
          <t>FechasPRE</t>
        </is>
      </c>
      <c r="B1" s="28" t="inlineStr">
        <is>
          <t>FechasPOST</t>
        </is>
      </c>
      <c r="C1" s="28" t="inlineStr">
        <is>
          <t>SiNo</t>
        </is>
      </c>
      <c r="D1" s="28" t="inlineStr">
        <is>
          <t>EstadoCita</t>
        </is>
      </c>
      <c r="E1" s="28" t="inlineStr">
        <is>
          <t>Categoria</t>
        </is>
      </c>
      <c r="F1" s="28" t="inlineStr">
        <is>
          <t>CanalPRE</t>
        </is>
      </c>
      <c r="G1" s="28" t="inlineStr">
        <is>
          <t>Sexo</t>
        </is>
      </c>
      <c r="H1" s="28" t="inlineStr">
        <is>
          <t>EstadoPaciente</t>
        </is>
      </c>
      <c r="I1" s="29" t="inlineStr">
        <is>
          <t>ResultadoVI</t>
        </is>
      </c>
    </row>
    <row r="2" ht="15" customHeight="1" s="27">
      <c r="A2" s="30" t="n">
        <v>46267</v>
      </c>
      <c r="B2" s="30" t="n">
        <v>46297</v>
      </c>
      <c r="C2" s="26" t="inlineStr">
        <is>
          <t>Sí</t>
        </is>
      </c>
      <c r="D2" s="26" t="inlineStr">
        <is>
          <t>Asistió</t>
        </is>
      </c>
      <c r="E2" s="26" t="inlineStr">
        <is>
          <t>Citas</t>
        </is>
      </c>
      <c r="F2" s="26" t="inlineStr">
        <is>
          <t>Presencial</t>
        </is>
      </c>
      <c r="G2" s="26" t="inlineStr">
        <is>
          <t>M</t>
        </is>
      </c>
      <c r="H2" s="26" t="inlineStr">
        <is>
          <t>Activo</t>
        </is>
      </c>
      <c r="I2" s="26" t="inlineStr">
        <is>
          <t>Implementado</t>
        </is>
      </c>
    </row>
    <row r="3" ht="15" customHeight="1" s="27">
      <c r="A3" s="30" t="n">
        <v>46269</v>
      </c>
      <c r="B3" s="30" t="n">
        <v>46300</v>
      </c>
      <c r="C3" s="26" t="inlineStr">
        <is>
          <t>No</t>
        </is>
      </c>
      <c r="D3" s="26" t="inlineStr">
        <is>
          <t>No asistió</t>
        </is>
      </c>
      <c r="E3" s="26" t="inlineStr">
        <is>
          <t>Horarios</t>
        </is>
      </c>
      <c r="F3" s="26" t="inlineStr">
        <is>
          <t>Telefónico</t>
        </is>
      </c>
      <c r="G3" s="26" t="inlineStr">
        <is>
          <t>F</t>
        </is>
      </c>
      <c r="H3" s="26" t="inlineStr">
        <is>
          <t>Inactivo</t>
        </is>
      </c>
      <c r="I3" s="26" t="inlineStr">
        <is>
          <t>No implementado</t>
        </is>
      </c>
    </row>
    <row r="4" ht="15" customHeight="1" s="27">
      <c r="A4" s="30" t="n">
        <v>46272</v>
      </c>
      <c r="B4" s="30" t="n">
        <v>46302</v>
      </c>
      <c r="D4" s="26" t="inlineStr">
        <is>
          <t>Cancelada</t>
        </is>
      </c>
      <c r="E4" s="26" t="inlineStr">
        <is>
          <t>Información institucional</t>
        </is>
      </c>
      <c r="F4" s="26" t="inlineStr">
        <is>
          <t>WhatsApp institucional</t>
        </is>
      </c>
    </row>
    <row r="5" ht="15" customHeight="1" s="27">
      <c r="A5" s="30" t="n">
        <v>46274</v>
      </c>
      <c r="B5" s="30" t="n">
        <v>46304</v>
      </c>
      <c r="D5" s="26" t="inlineStr">
        <is>
          <t>Reprogramada</t>
        </is>
      </c>
      <c r="E5" s="26" t="inlineStr">
        <is>
          <t>Requisitos</t>
        </is>
      </c>
    </row>
    <row r="6" ht="15" customHeight="1" s="27">
      <c r="A6" s="30" t="n">
        <v>46276</v>
      </c>
      <c r="B6" s="30" t="n">
        <v>46307</v>
      </c>
      <c r="E6" s="26" t="inlineStr">
        <is>
          <t>Ubicación</t>
        </is>
      </c>
    </row>
    <row r="7" ht="15" customHeight="1" s="27">
      <c r="A7" s="30" t="n">
        <v>46279</v>
      </c>
      <c r="B7" s="30" t="n">
        <v>46309</v>
      </c>
      <c r="E7" s="26" t="inlineStr">
        <is>
          <t>Seguimiento administrativo</t>
        </is>
      </c>
    </row>
    <row r="8" ht="15" customHeight="1" s="27">
      <c r="A8" s="30" t="n">
        <v>46281</v>
      </c>
      <c r="B8" s="30" t="n">
        <v>46311</v>
      </c>
      <c r="E8" s="26" t="inlineStr">
        <is>
          <t>Otro</t>
        </is>
      </c>
    </row>
    <row r="9" ht="15" customHeight="1" s="27">
      <c r="A9" s="30" t="n">
        <v>46283</v>
      </c>
      <c r="B9" s="30" t="n">
        <v>46314</v>
      </c>
    </row>
    <row r="10" ht="15" customHeight="1" s="27">
      <c r="A10" s="30" t="n">
        <v>46286</v>
      </c>
      <c r="B10" s="30" t="n">
        <v>46316</v>
      </c>
    </row>
    <row r="11" ht="15" customHeight="1" s="27">
      <c r="A11" s="30" t="n">
        <v>46288</v>
      </c>
      <c r="B11" s="30" t="n">
        <v>46318</v>
      </c>
    </row>
    <row r="12" ht="15" customHeight="1" s="27">
      <c r="A12" s="30" t="n">
        <v>46290</v>
      </c>
      <c r="B12" s="30" t="n">
        <v>46321</v>
      </c>
    </row>
    <row r="13" ht="15" customHeight="1" s="27">
      <c r="A13" s="30" t="n">
        <v>46293</v>
      </c>
      <c r="B13" s="30" t="n">
        <v>46323</v>
      </c>
    </row>
    <row r="14" ht="15" customHeight="1" s="27">
      <c r="A14" s="30" t="n">
        <v>46295</v>
      </c>
      <c r="B14" s="30" t="n">
        <v>46325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5.5" customHeight="1" s="27">
      <c r="A1" s="31" t="inlineStr">
        <is>
          <t>CONFIGURACIÓN DEL ESTUDIO</t>
        </is>
      </c>
    </row>
    <row r="2" ht="33.75" customHeight="1" s="27">
      <c r="A2" s="28" t="inlineStr">
        <is>
          <t>Código de estudio:</t>
        </is>
      </c>
      <c r="B2" s="32" t="inlineStr">
        <is>
          <t>SWC-FO-2026 (Sistema Web con Chatbot - Fundación Oncológica - 2026)</t>
        </is>
      </c>
    </row>
    <row r="3" ht="33.75" customHeight="1" s="27">
      <c r="A3" s="28" t="inlineStr">
        <is>
          <t>Título:</t>
        </is>
      </c>
      <c r="B3" s="32" t="inlineStr">
        <is>
          <t>Sistema web con chatbot para la gestión de pacientes en una fundación oncológica privada de Lima, 2026</t>
        </is>
      </c>
    </row>
    <row r="4" ht="33.75" customHeight="1" s="27">
      <c r="A4" s="28" t="inlineStr">
        <is>
          <t>Diseño:</t>
        </is>
      </c>
      <c r="B4" s="32" t="inlineStr">
        <is>
          <t>Pre-experimental de un solo grupo, con pretest y postest, comparados mediante 13 sesiones equivalentes</t>
        </is>
      </c>
    </row>
    <row r="5" ht="33.75" customHeight="1" s="27">
      <c r="A5" s="28" t="inlineStr">
        <is>
          <t>Fechas PRETEST (lun/mié/vie):</t>
        </is>
      </c>
      <c r="B5" s="32" t="inlineStr">
        <is>
          <t>02/09/2026, 04/09/2026, 07/09/2026, 09/09/2026, 11/09/2026, 14/09/2026, 16/09/2026, 18/09/2026, 21/09/2026, 23/09/2026, 25/09/2026, 28/09/2026, 30/09/2026</t>
        </is>
      </c>
    </row>
    <row r="6" ht="33.75" customHeight="1" s="27">
      <c r="A6" s="28" t="inlineStr">
        <is>
          <t>Fechas POSTEST (lun/mié/vie):</t>
        </is>
      </c>
      <c r="B6" s="32" t="inlineStr">
        <is>
          <t>02/10/2026, 05/10/2026, 07/10/2026, 09/10/2026, 12/10/2026, 14/10/2026, 16/10/2026, 19/10/2026, 21/10/2026, 23/10/2026, 26/10/2026, 28/10/2026, 30/10/2026</t>
        </is>
      </c>
    </row>
    <row r="7" ht="33.75" customHeight="1" s="27">
      <c r="A7" s="28" t="inlineStr">
        <is>
          <t>Unidad de análisis - TPR:</t>
        </is>
      </c>
      <c r="B7" s="32" t="inlineStr">
        <is>
          <t>Cada proceso de registro de paciente efectivamente ejecutado</t>
        </is>
      </c>
    </row>
    <row r="8" ht="33.75" customHeight="1" s="27">
      <c r="A8" s="28" t="inlineStr">
        <is>
          <t>Unidad de análisis - Ausentismo:</t>
        </is>
      </c>
      <c r="B8" s="32" t="inlineStr">
        <is>
          <t>Cada cita médica programada elegible (se excluyen citas canceladas o reprogramadas con anticipación)</t>
        </is>
      </c>
    </row>
    <row r="9" ht="33.75" customHeight="1" s="27">
      <c r="A9" s="28" t="inlineStr">
        <is>
          <t>Unidad de análisis - Consultas:</t>
        </is>
      </c>
      <c r="B9" s="32" t="inlineStr">
        <is>
          <t>Cada consulta administrativa recibida (canales habituales en el pretest; chatbot en el postest)</t>
        </is>
      </c>
    </row>
    <row r="10" ht="33.75" customHeight="1" s="27">
      <c r="A10" s="28" t="inlineStr">
        <is>
          <t>Fórmula TPR:</t>
        </is>
      </c>
      <c r="B10" s="32" t="inlineStr">
        <is>
          <t>TPR = (Σ tiempo de cada registro) / (N.° de registros), en minutos</t>
        </is>
      </c>
    </row>
    <row r="11" ht="33.75" customHeight="1" s="27">
      <c r="A11" s="28" t="inlineStr">
        <is>
          <t>Fórmula Tasa de Ausentismo:</t>
        </is>
      </c>
      <c r="B11" s="32" t="inlineStr">
        <is>
          <t>TA = (N.° de citas no asistidas sin previo aviso / N.° de citas programadas elegibles) x 100</t>
        </is>
      </c>
    </row>
    <row r="12" ht="33.75" customHeight="1" s="27">
      <c r="A12" s="28" t="inlineStr">
        <is>
          <t>Fórmula Nivel de Consultas Atendidas:</t>
        </is>
      </c>
      <c r="B12" s="32" t="inlineStr">
        <is>
          <t>NCA = (N.° de consultas resueltas en el primer contacto y no derivadas / N.° de consultas recibidas) x 100</t>
        </is>
      </c>
    </row>
    <row r="13" ht="33.75" customHeight="1" s="27">
      <c r="A13" s="28" t="inlineStr">
        <is>
          <t>Criterios de inclusión:</t>
        </is>
      </c>
      <c r="B13" s="32" t="inlineStr">
        <is>
          <t>Pacientes activos de la fundación oncológica durante el período de estudio, mayores de edad, con al menos una cita programada en la institución en dicho período y que acepten participar mediante consentimiento informado.</t>
        </is>
      </c>
    </row>
    <row r="14" ht="33.75" customHeight="1" s="27">
      <c r="A14" s="28" t="inlineStr">
        <is>
          <t>Criterios de exclusión:</t>
        </is>
      </c>
      <c r="B14" s="32" t="inlineStr">
        <is>
          <t>Pacientes con registros incompletos o ilegibles, que suspendan tratamiento durante el estudio, que fallezcan durante la investigación, o que no otorguen o retiren su consentimiento.</t>
        </is>
      </c>
    </row>
    <row r="15" ht="33.75" customHeight="1" s="27">
      <c r="A15" s="28" t="inlineStr">
        <is>
          <t>Regla de calidad de datos:</t>
        </is>
      </c>
      <c r="B15" s="32" t="inlineStr">
        <is>
          <t>Registrar únicamente los eventos que realmente ocurrieron cada sesión. No completar filas artificiales para alcanzar un número fijo de registros, citas o consultas.</t>
        </is>
      </c>
    </row>
    <row r="17" ht="15" customHeight="1" s="27">
      <c r="A17" s="33" t="inlineStr">
        <is>
          <t>CÓMO USAR ESTE ARCHIVO</t>
        </is>
      </c>
    </row>
    <row r="18" ht="27.75" customHeight="1" s="27">
      <c r="A18" s="34" t="inlineStr">
        <is>
          <t>1. Use la hoja Pacientes para registrar a los 30 participantes (código, edad, sexo). Si aparece un paciente nuevo durante el postest que no estaba en la lista original, agréguelo al final.</t>
        </is>
      </c>
    </row>
    <row r="19" ht="27.75" customHeight="1" s="27">
      <c r="A19" s="34" t="inlineStr">
        <is>
          <t>2. En cada hoja PRE/POST (TPR, Ausentismo, Consultas), agregue una fila por cada evento real (registro, cita o consulta) que haya ocurrido, seleccionando la fecha de la lista desplegable. No es necesario llenar un número fijo de filas por sesión.</t>
        </is>
      </c>
    </row>
    <row r="20" ht="27.75" customHeight="1" s="27">
      <c r="A20" s="34" t="inlineStr">
        <is>
          <t>3. Las celdas en amarillo son las que debe completar con datos reales. Las columnas de fecha y las categóricas tienen lista desplegable para evitar errores de escritura.</t>
        </is>
      </c>
    </row>
    <row r="21" ht="27.75" customHeight="1" s="27">
      <c r="A21" s="34" t="inlineStr">
        <is>
          <t>4. La hoja Sesiones calcula automáticamente el valor de cada indicador por sesión (13 PRE y 13 POST) a partir de lo que usted haya registrado. No edite esa hoja manualmente.</t>
        </is>
      </c>
    </row>
    <row r="22" ht="27.75" customHeight="1" s="27">
      <c r="A22" s="34" t="inlineStr">
        <is>
          <t>5. La hoja Resumen_PRE_POST muestra el promedio general de cada indicador; se actualiza sola.</t>
        </is>
      </c>
    </row>
    <row r="24">
      <c r="A24" s="35" t="inlineStr">
        <is>
          <t>REGLAS DE REGISTRO (versión 3)</t>
        </is>
      </c>
    </row>
    <row r="25">
      <c r="A25" s="36" t="inlineStr">
        <is>
          <t>Consulta resuelta:</t>
        </is>
      </c>
      <c r="B25" s="37" t="inlineStr">
        <is>
          <t>Se marca "Sí" en la columna F solo si el paciente obtuvo la información solicitada en el primer contacto y no necesitó volver a comunicarse por el mismo motivo. Se aplica igual en el pretest y en el postest.</t>
        </is>
      </c>
    </row>
    <row r="26">
      <c r="A26" s="36" t="inlineStr">
        <is>
          <t>Consulta derivada:</t>
        </is>
      </c>
      <c r="B26" s="37" t="inlineStr">
        <is>
          <t>Se marca "Sí" en la columna G si la consulta tuvo que pasarse a otra persona o área para completarse. Una consulta derivada no cuenta como resuelta para el NCA.</t>
        </is>
      </c>
    </row>
    <row r="27">
      <c r="A27" s="36" t="inlineStr">
        <is>
          <t>Aviso previo (ausentismo):</t>
        </is>
      </c>
      <c r="B27" s="37" t="inlineStr">
        <is>
          <t>Si el paciente avisó antes de la fecha, la cita se registra como "Cancelada" o "Reprogramada" y no entra al cálculo. "No asistió" se usa solo para inasistencias sin aviso.</t>
        </is>
      </c>
    </row>
    <row r="28">
      <c r="A28" s="36" t="inlineStr">
        <is>
          <t>Sesiones sin eventos:</t>
        </is>
      </c>
      <c r="B28" s="37" t="inlineStr">
        <is>
          <t>Si una sesión no tiene eventos de un indicador, su valor queda vacío y el par se marca como no válido en la hoja Sesiones; se excluye del contraste y se informa el número de pares válidos.</t>
        </is>
      </c>
    </row>
    <row r="29">
      <c r="A29" s="36" t="inlineStr">
        <is>
          <t>Emparejamiento de sesiones:</t>
        </is>
      </c>
      <c r="B29" s="37" t="inlineStr">
        <is>
          <t>Por orden cronológico (par 1 = primera sesión PRE con primera sesión POST). Pendiente de confirmación con el asesor.</t>
        </is>
      </c>
    </row>
    <row r="30">
      <c r="A30" s="36" t="inlineStr">
        <is>
          <t>Variable independiente:</t>
        </is>
      </c>
      <c r="B30" s="37" t="inlineStr">
        <is>
          <t>Registrar en la hoja Verificacion_VI la verificación de cada módulo del sistema antes de iniciar el postest.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8" customWidth="1" style="26" min="2" max="3"/>
    <col width="12" customWidth="1" style="26" min="4" max="4"/>
    <col width="20" customWidth="1" style="26" min="5" max="5"/>
  </cols>
  <sheetData>
    <row r="1" ht="27.75" customHeight="1" s="27">
      <c r="A1" s="38" t="inlineStr">
        <is>
          <t>Código</t>
        </is>
      </c>
      <c r="B1" s="38" t="inlineStr">
        <is>
          <t>Edad</t>
        </is>
      </c>
      <c r="C1" s="38" t="inlineStr">
        <is>
          <t>Sexo</t>
        </is>
      </c>
      <c r="D1" s="38" t="inlineStr">
        <is>
          <t>Estado</t>
        </is>
      </c>
      <c r="E1" s="38" t="inlineStr">
        <is>
          <t>Participó en la muestra original (30)</t>
        </is>
      </c>
    </row>
    <row r="2" ht="15" customHeight="1" s="27">
      <c r="A2" s="39" t="inlineStr">
        <is>
          <t>PAC-01</t>
        </is>
      </c>
      <c r="B2" s="40" t="n"/>
      <c r="C2" s="40" t="n"/>
      <c r="D2" s="40" t="n"/>
      <c r="E2" s="39" t="inlineStr">
        <is>
          <t>Sí</t>
        </is>
      </c>
    </row>
    <row r="3" ht="15" customHeight="1" s="27">
      <c r="A3" s="39" t="inlineStr">
        <is>
          <t>PAC-02</t>
        </is>
      </c>
      <c r="B3" s="40" t="n"/>
      <c r="C3" s="40" t="n"/>
      <c r="D3" s="40" t="n"/>
      <c r="E3" s="39" t="inlineStr">
        <is>
          <t>Sí</t>
        </is>
      </c>
    </row>
    <row r="4" ht="15" customHeight="1" s="27">
      <c r="A4" s="39" t="inlineStr">
        <is>
          <t>PAC-03</t>
        </is>
      </c>
      <c r="B4" s="40" t="n"/>
      <c r="C4" s="40" t="n"/>
      <c r="D4" s="40" t="n"/>
      <c r="E4" s="39" t="inlineStr">
        <is>
          <t>Sí</t>
        </is>
      </c>
    </row>
    <row r="5" ht="15" customHeight="1" s="27">
      <c r="A5" s="39" t="inlineStr">
        <is>
          <t>PAC-04</t>
        </is>
      </c>
      <c r="B5" s="40" t="n"/>
      <c r="C5" s="40" t="n"/>
      <c r="D5" s="40" t="n"/>
      <c r="E5" s="39" t="inlineStr">
        <is>
          <t>Sí</t>
        </is>
      </c>
    </row>
    <row r="6" ht="15" customHeight="1" s="27">
      <c r="A6" s="39" t="inlineStr">
        <is>
          <t>PAC-05</t>
        </is>
      </c>
      <c r="B6" s="40" t="n"/>
      <c r="C6" s="40" t="n"/>
      <c r="D6" s="40" t="n"/>
      <c r="E6" s="39" t="inlineStr">
        <is>
          <t>Sí</t>
        </is>
      </c>
    </row>
    <row r="7" ht="15" customHeight="1" s="27">
      <c r="A7" s="39" t="inlineStr">
        <is>
          <t>PAC-06</t>
        </is>
      </c>
      <c r="B7" s="40" t="n"/>
      <c r="C7" s="40" t="n"/>
      <c r="D7" s="40" t="n"/>
      <c r="E7" s="39" t="inlineStr">
        <is>
          <t>Sí</t>
        </is>
      </c>
    </row>
    <row r="8" ht="15" customHeight="1" s="27">
      <c r="A8" s="39" t="inlineStr">
        <is>
          <t>PAC-07</t>
        </is>
      </c>
      <c r="B8" s="40" t="n"/>
      <c r="C8" s="40" t="n"/>
      <c r="D8" s="40" t="n"/>
      <c r="E8" s="39" t="inlineStr">
        <is>
          <t>Sí</t>
        </is>
      </c>
    </row>
    <row r="9" ht="15" customHeight="1" s="27">
      <c r="A9" s="39" t="inlineStr">
        <is>
          <t>PAC-08</t>
        </is>
      </c>
      <c r="B9" s="40" t="n"/>
      <c r="C9" s="40" t="n"/>
      <c r="D9" s="40" t="n"/>
      <c r="E9" s="39" t="inlineStr">
        <is>
          <t>Sí</t>
        </is>
      </c>
    </row>
    <row r="10" ht="15" customHeight="1" s="27">
      <c r="A10" s="39" t="inlineStr">
        <is>
          <t>PAC-09</t>
        </is>
      </c>
      <c r="B10" s="40" t="n"/>
      <c r="C10" s="40" t="n"/>
      <c r="D10" s="40" t="n"/>
      <c r="E10" s="39" t="inlineStr">
        <is>
          <t>Sí</t>
        </is>
      </c>
    </row>
    <row r="11" ht="15" customHeight="1" s="27">
      <c r="A11" s="39" t="inlineStr">
        <is>
          <t>PAC-10</t>
        </is>
      </c>
      <c r="B11" s="40" t="n"/>
      <c r="C11" s="40" t="n"/>
      <c r="D11" s="40" t="n"/>
      <c r="E11" s="39" t="inlineStr">
        <is>
          <t>Sí</t>
        </is>
      </c>
    </row>
    <row r="12" ht="15" customHeight="1" s="27">
      <c r="A12" s="39" t="inlineStr">
        <is>
          <t>PAC-11</t>
        </is>
      </c>
      <c r="B12" s="40" t="n"/>
      <c r="C12" s="40" t="n"/>
      <c r="D12" s="40" t="n"/>
      <c r="E12" s="39" t="inlineStr">
        <is>
          <t>Sí</t>
        </is>
      </c>
    </row>
    <row r="13" ht="15" customHeight="1" s="27">
      <c r="A13" s="39" t="inlineStr">
        <is>
          <t>PAC-12</t>
        </is>
      </c>
      <c r="B13" s="40" t="n"/>
      <c r="C13" s="40" t="n"/>
      <c r="D13" s="40" t="n"/>
      <c r="E13" s="39" t="inlineStr">
        <is>
          <t>Sí</t>
        </is>
      </c>
    </row>
    <row r="14" ht="15" customHeight="1" s="27">
      <c r="A14" s="39" t="inlineStr">
        <is>
          <t>PAC-13</t>
        </is>
      </c>
      <c r="B14" s="40" t="n"/>
      <c r="C14" s="40" t="n"/>
      <c r="D14" s="40" t="n"/>
      <c r="E14" s="39" t="inlineStr">
        <is>
          <t>Sí</t>
        </is>
      </c>
    </row>
    <row r="15" ht="15" customHeight="1" s="27">
      <c r="A15" s="39" t="inlineStr">
        <is>
          <t>PAC-14</t>
        </is>
      </c>
      <c r="B15" s="40" t="n"/>
      <c r="C15" s="40" t="n"/>
      <c r="D15" s="40" t="n"/>
      <c r="E15" s="39" t="inlineStr">
        <is>
          <t>Sí</t>
        </is>
      </c>
    </row>
    <row r="16" ht="15" customHeight="1" s="27">
      <c r="A16" s="39" t="inlineStr">
        <is>
          <t>PAC-15</t>
        </is>
      </c>
      <c r="B16" s="40" t="n"/>
      <c r="C16" s="40" t="n"/>
      <c r="D16" s="40" t="n"/>
      <c r="E16" s="39" t="inlineStr">
        <is>
          <t>Sí</t>
        </is>
      </c>
    </row>
    <row r="17" ht="15" customHeight="1" s="27">
      <c r="A17" s="39" t="inlineStr">
        <is>
          <t>PAC-16</t>
        </is>
      </c>
      <c r="B17" s="40" t="n"/>
      <c r="C17" s="40" t="n"/>
      <c r="D17" s="40" t="n"/>
      <c r="E17" s="39" t="inlineStr">
        <is>
          <t>Sí</t>
        </is>
      </c>
    </row>
    <row r="18" ht="15" customHeight="1" s="27">
      <c r="A18" s="39" t="inlineStr">
        <is>
          <t>PAC-17</t>
        </is>
      </c>
      <c r="B18" s="40" t="n"/>
      <c r="C18" s="40" t="n"/>
      <c r="D18" s="40" t="n"/>
      <c r="E18" s="39" t="inlineStr">
        <is>
          <t>Sí</t>
        </is>
      </c>
    </row>
    <row r="19" ht="15" customHeight="1" s="27">
      <c r="A19" s="39" t="inlineStr">
        <is>
          <t>PAC-18</t>
        </is>
      </c>
      <c r="B19" s="40" t="n"/>
      <c r="C19" s="40" t="n"/>
      <c r="D19" s="40" t="n"/>
      <c r="E19" s="39" t="inlineStr">
        <is>
          <t>Sí</t>
        </is>
      </c>
    </row>
    <row r="20" ht="15" customHeight="1" s="27">
      <c r="A20" s="39" t="inlineStr">
        <is>
          <t>PAC-19</t>
        </is>
      </c>
      <c r="B20" s="40" t="n"/>
      <c r="C20" s="40" t="n"/>
      <c r="D20" s="40" t="n"/>
      <c r="E20" s="39" t="inlineStr">
        <is>
          <t>Sí</t>
        </is>
      </c>
    </row>
    <row r="21" ht="15" customHeight="1" s="27">
      <c r="A21" s="39" t="inlineStr">
        <is>
          <t>PAC-20</t>
        </is>
      </c>
      <c r="B21" s="40" t="n"/>
      <c r="C21" s="40" t="n"/>
      <c r="D21" s="40" t="n"/>
      <c r="E21" s="39" t="inlineStr">
        <is>
          <t>Sí</t>
        </is>
      </c>
    </row>
    <row r="22" ht="15" customHeight="1" s="27">
      <c r="A22" s="39" t="inlineStr">
        <is>
          <t>PAC-21</t>
        </is>
      </c>
      <c r="B22" s="40" t="n"/>
      <c r="C22" s="40" t="n"/>
      <c r="D22" s="40" t="n"/>
      <c r="E22" s="39" t="inlineStr">
        <is>
          <t>Sí</t>
        </is>
      </c>
    </row>
    <row r="23" ht="15" customHeight="1" s="27">
      <c r="A23" s="39" t="inlineStr">
        <is>
          <t>PAC-22</t>
        </is>
      </c>
      <c r="B23" s="40" t="n"/>
      <c r="C23" s="40" t="n"/>
      <c r="D23" s="40" t="n"/>
      <c r="E23" s="39" t="inlineStr">
        <is>
          <t>Sí</t>
        </is>
      </c>
    </row>
    <row r="24" ht="15" customHeight="1" s="27">
      <c r="A24" s="39" t="inlineStr">
        <is>
          <t>PAC-23</t>
        </is>
      </c>
      <c r="B24" s="40" t="n"/>
      <c r="C24" s="40" t="n"/>
      <c r="D24" s="40" t="n"/>
      <c r="E24" s="39" t="inlineStr">
        <is>
          <t>Sí</t>
        </is>
      </c>
    </row>
    <row r="25" ht="15" customHeight="1" s="27">
      <c r="A25" s="39" t="inlineStr">
        <is>
          <t>PAC-24</t>
        </is>
      </c>
      <c r="B25" s="40" t="n"/>
      <c r="C25" s="40" t="n"/>
      <c r="D25" s="40" t="n"/>
      <c r="E25" s="39" t="inlineStr">
        <is>
          <t>Sí</t>
        </is>
      </c>
    </row>
    <row r="26" ht="15" customHeight="1" s="27">
      <c r="A26" s="39" t="inlineStr">
        <is>
          <t>PAC-25</t>
        </is>
      </c>
      <c r="B26" s="40" t="n"/>
      <c r="C26" s="40" t="n"/>
      <c r="D26" s="40" t="n"/>
      <c r="E26" s="39" t="inlineStr">
        <is>
          <t>Sí</t>
        </is>
      </c>
    </row>
    <row r="27" ht="15" customHeight="1" s="27">
      <c r="A27" s="39" t="inlineStr">
        <is>
          <t>PAC-26</t>
        </is>
      </c>
      <c r="B27" s="40" t="n"/>
      <c r="C27" s="40" t="n"/>
      <c r="D27" s="40" t="n"/>
      <c r="E27" s="39" t="inlineStr">
        <is>
          <t>Sí</t>
        </is>
      </c>
    </row>
    <row r="28" ht="15" customHeight="1" s="27">
      <c r="A28" s="39" t="inlineStr">
        <is>
          <t>PAC-27</t>
        </is>
      </c>
      <c r="B28" s="40" t="n"/>
      <c r="C28" s="40" t="n"/>
      <c r="D28" s="40" t="n"/>
      <c r="E28" s="39" t="inlineStr">
        <is>
          <t>Sí</t>
        </is>
      </c>
    </row>
    <row r="29" ht="15" customHeight="1" s="27">
      <c r="A29" s="39" t="inlineStr">
        <is>
          <t>PAC-28</t>
        </is>
      </c>
      <c r="B29" s="40" t="n"/>
      <c r="C29" s="40" t="n"/>
      <c r="D29" s="40" t="n"/>
      <c r="E29" s="39" t="inlineStr">
        <is>
          <t>Sí</t>
        </is>
      </c>
    </row>
    <row r="30" ht="15" customHeight="1" s="27">
      <c r="A30" s="39" t="inlineStr">
        <is>
          <t>PAC-29</t>
        </is>
      </c>
      <c r="B30" s="40" t="n"/>
      <c r="C30" s="40" t="n"/>
      <c r="D30" s="40" t="n"/>
      <c r="E30" s="39" t="inlineStr">
        <is>
          <t>Sí</t>
        </is>
      </c>
    </row>
    <row r="31" ht="15" customHeight="1" s="27">
      <c r="A31" s="39" t="inlineStr">
        <is>
          <t>PAC-30</t>
        </is>
      </c>
      <c r="B31" s="40" t="n"/>
      <c r="C31" s="40" t="n"/>
      <c r="D31" s="40" t="n"/>
      <c r="E31" s="39" t="inlineStr">
        <is>
          <t>Sí</t>
        </is>
      </c>
    </row>
    <row r="32" ht="15" customHeight="1" s="27">
      <c r="A32" s="40" t="n"/>
      <c r="B32" s="40" t="n"/>
      <c r="C32" s="40" t="n"/>
      <c r="D32" s="40" t="n"/>
      <c r="E32" s="41" t="inlineStr">
        <is>
          <t>No (nuevo)</t>
        </is>
      </c>
    </row>
    <row r="33" ht="15" customHeight="1" s="27">
      <c r="A33" s="40" t="n"/>
      <c r="B33" s="40" t="n"/>
      <c r="C33" s="40" t="n"/>
      <c r="D33" s="40" t="n"/>
      <c r="E33" s="41" t="inlineStr">
        <is>
          <t>No (nuevo)</t>
        </is>
      </c>
    </row>
    <row r="34" ht="15" customHeight="1" s="27">
      <c r="A34" s="40" t="n"/>
      <c r="B34" s="40" t="n"/>
      <c r="C34" s="40" t="n"/>
      <c r="D34" s="40" t="n"/>
      <c r="E34" s="41" t="inlineStr">
        <is>
          <t>No (nuevo)</t>
        </is>
      </c>
    </row>
    <row r="35" ht="15" customHeight="1" s="27">
      <c r="A35" s="40" t="n"/>
      <c r="B35" s="40" t="n"/>
      <c r="C35" s="40" t="n"/>
      <c r="D35" s="40" t="n"/>
      <c r="E35" s="41" t="inlineStr">
        <is>
          <t>No (nuevo)</t>
        </is>
      </c>
    </row>
    <row r="36" ht="15" customHeight="1" s="27">
      <c r="A36" s="40" t="n"/>
      <c r="B36" s="40" t="n"/>
      <c r="C36" s="40" t="n"/>
      <c r="D36" s="40" t="n"/>
      <c r="E36" s="41" t="inlineStr">
        <is>
          <t>No (nuevo)</t>
        </is>
      </c>
    </row>
    <row r="37" ht="15" customHeight="1" s="27">
      <c r="A37" s="40" t="n"/>
      <c r="B37" s="40" t="n"/>
      <c r="C37" s="40" t="n"/>
      <c r="D37" s="40" t="n"/>
      <c r="E37" s="41" t="inlineStr">
        <is>
          <t>No (nuevo)</t>
        </is>
      </c>
    </row>
    <row r="38" ht="15" customHeight="1" s="27">
      <c r="A38" s="40" t="n"/>
      <c r="B38" s="40" t="n"/>
      <c r="C38" s="40" t="n"/>
      <c r="D38" s="40" t="n"/>
      <c r="E38" s="41" t="inlineStr">
        <is>
          <t>No (nuevo)</t>
        </is>
      </c>
    </row>
    <row r="39" ht="15" customHeight="1" s="27">
      <c r="A39" s="40" t="n"/>
      <c r="B39" s="40" t="n"/>
      <c r="C39" s="40" t="n"/>
      <c r="D39" s="40" t="n"/>
      <c r="E39" s="41" t="inlineStr">
        <is>
          <t>No (nuevo)</t>
        </is>
      </c>
    </row>
    <row r="40" ht="15" customHeight="1" s="27">
      <c r="A40" s="40" t="n"/>
      <c r="B40" s="40" t="n"/>
      <c r="C40" s="40" t="n"/>
      <c r="D40" s="40" t="n"/>
      <c r="E40" s="41" t="inlineStr">
        <is>
          <t>No (nuevo)</t>
        </is>
      </c>
    </row>
    <row r="41" ht="15" customHeight="1" s="27">
      <c r="A41" s="40" t="n"/>
      <c r="B41" s="40" t="n"/>
      <c r="C41" s="40" t="n"/>
      <c r="D41" s="40" t="n"/>
      <c r="E41" s="41" t="inlineStr">
        <is>
          <t>No (nuevo)</t>
        </is>
      </c>
    </row>
    <row r="42" ht="15" customHeight="1" s="27">
      <c r="A42" s="40" t="n"/>
      <c r="B42" s="40" t="n"/>
      <c r="C42" s="40" t="n"/>
      <c r="D42" s="40" t="n"/>
      <c r="E42" s="41" t="inlineStr">
        <is>
          <t>No (nuevo)</t>
        </is>
      </c>
    </row>
    <row r="43" ht="15" customHeight="1" s="27">
      <c r="A43" s="40" t="n"/>
      <c r="B43" s="40" t="n"/>
      <c r="C43" s="40" t="n"/>
      <c r="D43" s="40" t="n"/>
      <c r="E43" s="41" t="inlineStr">
        <is>
          <t>No (nuevo)</t>
        </is>
      </c>
    </row>
    <row r="44" ht="15" customHeight="1" s="27">
      <c r="A44" s="40" t="n"/>
      <c r="B44" s="40" t="n"/>
      <c r="C44" s="40" t="n"/>
      <c r="D44" s="40" t="n"/>
      <c r="E44" s="41" t="inlineStr">
        <is>
          <t>No (nuevo)</t>
        </is>
      </c>
    </row>
    <row r="45" ht="15" customHeight="1" s="27">
      <c r="A45" s="40" t="n"/>
      <c r="B45" s="40" t="n"/>
      <c r="C45" s="40" t="n"/>
      <c r="D45" s="40" t="n"/>
      <c r="E45" s="41" t="inlineStr">
        <is>
          <t>No (nuevo)</t>
        </is>
      </c>
    </row>
    <row r="46" ht="15" customHeight="1" s="27">
      <c r="A46" s="40" t="n"/>
      <c r="B46" s="40" t="n"/>
      <c r="C46" s="40" t="n"/>
      <c r="D46" s="40" t="n"/>
      <c r="E46" s="41" t="inlineStr">
        <is>
          <t>No (nuevo)</t>
        </is>
      </c>
    </row>
  </sheetData>
  <dataValidations count="2">
    <dataValidation sqref="C2:C46" showDropDown="0" showInputMessage="0" showErrorMessage="0" allowBlank="1" type="list" errorStyle="stop" operator="between">
      <formula1>Listas!$G$2:$G$3</formula1>
      <formula2>0</formula2>
    </dataValidation>
    <dataValidation sqref="D2:D46" showDropDown="0" showInputMessage="0" showErrorMessage="0" allowBlank="1" type="list" errorStyle="stop" operator="between">
      <formula1>Listas!$H$2:$H$3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7" min="1" max="1"/>
    <col width="60" customWidth="1" style="27" min="2" max="2"/>
    <col width="16" customWidth="1" style="27" min="3" max="3"/>
    <col width="18" customWidth="1" style="27" min="4" max="4"/>
    <col width="30" customWidth="1" style="27" min="5" max="5"/>
    <col width="20" customWidth="1" style="27" min="6" max="6"/>
  </cols>
  <sheetData>
    <row r="1" ht="30" customHeight="1" s="27">
      <c r="A1" s="42" t="inlineStr">
        <is>
          <t>Módulo (dimensión VI)</t>
        </is>
      </c>
      <c r="B1" s="42" t="inlineStr">
        <is>
          <t>Funcionalidad verificada</t>
        </is>
      </c>
      <c r="C1" s="42" t="inlineStr">
        <is>
          <t>Fecha de verificación</t>
        </is>
      </c>
      <c r="D1" s="42" t="inlineStr">
        <is>
          <t>Resultado</t>
        </is>
      </c>
      <c r="E1" s="42" t="inlineStr">
        <is>
          <t>Evidencia (captura, registro)</t>
        </is>
      </c>
      <c r="F1" s="42" t="inlineStr">
        <is>
          <t>Responsable</t>
        </is>
      </c>
    </row>
    <row r="2">
      <c r="A2" s="43" t="inlineStr">
        <is>
          <t>Registro de pacientes</t>
        </is>
      </c>
      <c r="B2" s="43" t="inlineStr">
        <is>
          <t>Alta de un paciente nuevo con validación de campos obligatorios</t>
        </is>
      </c>
      <c r="C2" s="44" t="n"/>
      <c r="D2" s="45" t="n"/>
      <c r="E2" s="45" t="n"/>
      <c r="F2" s="45" t="n"/>
    </row>
    <row r="3">
      <c r="A3" s="43" t="inlineStr">
        <is>
          <t>Registro de pacientes</t>
        </is>
      </c>
      <c r="B3" s="43" t="inlineStr">
        <is>
          <t>Almacenamiento del registro con marca de tiempo de inicio y fin</t>
        </is>
      </c>
      <c r="C3" s="44" t="n"/>
      <c r="D3" s="45" t="n"/>
      <c r="E3" s="45" t="n"/>
      <c r="F3" s="45" t="n"/>
    </row>
    <row r="4">
      <c r="A4" s="43" t="inlineStr">
        <is>
          <t>Agendamiento y recordatorios</t>
        </is>
      </c>
      <c r="B4" s="43" t="inlineStr">
        <is>
          <t>Creación de una cita con fecha, hora y servicio</t>
        </is>
      </c>
      <c r="C4" s="44" t="n"/>
      <c r="D4" s="45" t="n"/>
      <c r="E4" s="45" t="n"/>
      <c r="F4" s="45" t="n"/>
    </row>
    <row r="5">
      <c r="A5" s="43" t="inlineStr">
        <is>
          <t>Agendamiento y recordatorios</t>
        </is>
      </c>
      <c r="B5" s="43" t="inlineStr">
        <is>
          <t>Envío automático del recordatorio al paciente</t>
        </is>
      </c>
      <c r="C5" s="44" t="n"/>
      <c r="D5" s="45" t="n"/>
      <c r="E5" s="45" t="n"/>
      <c r="F5" s="45" t="n"/>
    </row>
    <row r="6">
      <c r="A6" s="43" t="inlineStr">
        <is>
          <t>Agendamiento y recordatorios</t>
        </is>
      </c>
      <c r="B6" s="43" t="inlineStr">
        <is>
          <t>Registro de cancelación o reprogramación con aviso previo</t>
        </is>
      </c>
      <c r="C6" s="44" t="n"/>
      <c r="D6" s="45" t="n"/>
      <c r="E6" s="45" t="n"/>
      <c r="F6" s="45" t="n"/>
    </row>
    <row r="7">
      <c r="A7" s="43" t="inlineStr">
        <is>
          <t>Chatbot conversacional</t>
        </is>
      </c>
      <c r="B7" s="43" t="inlineStr">
        <is>
          <t>Respuesta a una consulta de cada categoría (citas, horarios, información institucional, requisitos, ubicación, seguimiento)</t>
        </is>
      </c>
      <c r="C7" s="44" t="n"/>
      <c r="D7" s="45" t="n"/>
      <c r="E7" s="45" t="n"/>
      <c r="F7" s="45" t="n"/>
    </row>
    <row r="8">
      <c r="A8" s="43" t="inlineStr">
        <is>
          <t>Chatbot conversacional</t>
        </is>
      </c>
      <c r="B8" s="43" t="inlineStr">
        <is>
          <t>Derivación al personal cuando la consulta no puede resolverse</t>
        </is>
      </c>
      <c r="C8" s="44" t="n"/>
      <c r="D8" s="45" t="n"/>
      <c r="E8" s="45" t="n"/>
      <c r="F8" s="45" t="n"/>
    </row>
    <row r="9">
      <c r="A9" s="43" t="inlineStr">
        <is>
          <t>Chatbot conversacional</t>
        </is>
      </c>
      <c r="B9" s="43" t="inlineStr">
        <is>
          <t>Registro de cada consulta con su categoría, resolución y derivación</t>
        </is>
      </c>
      <c r="C9" s="44" t="n"/>
      <c r="D9" s="45" t="n"/>
      <c r="E9" s="45" t="n"/>
      <c r="F9" s="45" t="n"/>
    </row>
  </sheetData>
  <dataValidations count="1">
    <dataValidation sqref="D2:D9" showDropDown="0" showInputMessage="0" showErrorMessage="0" allowBlank="1" type="list">
      <formula1>Listas!$I$2:$I$3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Manual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Manual</t>
        </is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Manual</t>
        </is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Manual</t>
        </is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Manual</t>
        </is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Manual</t>
        </is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Manual</t>
        </is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Manual</t>
        </is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Manual</t>
        </is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Manual</t>
        </is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Manual</t>
        </is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Manual</t>
        </is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Manual</t>
        </is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Manual</t>
        </is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Manual</t>
        </is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Manual</t>
        </is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Manual</t>
        </is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Manual</t>
        </is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Manual</t>
        </is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Manual</t>
        </is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Manual</t>
        </is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Manual</t>
        </is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Manual</t>
        </is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Manual</t>
        </is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Manual</t>
        </is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Manual</t>
        </is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Manual</t>
        </is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Manual</t>
        </is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Manual</t>
        </is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Manual</t>
        </is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Manual</t>
        </is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Manual</t>
        </is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Manual</t>
        </is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Manual</t>
        </is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Manual</t>
        </is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Manual</t>
        </is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Manual</t>
        </is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Manual</t>
        </is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Manual</t>
        </is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Manual</t>
        </is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Manual</t>
        </is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Manual</t>
        </is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Manual</t>
        </is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Manual</t>
        </is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Manual</t>
        </is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Manual</t>
        </is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Manual</t>
        </is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Manual</t>
        </is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Manual</t>
        </is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Manual</t>
        </is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Manual</t>
        </is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Manual</t>
        </is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Manual</t>
        </is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Manual</t>
        </is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Manual</t>
        </is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Manual</t>
        </is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Manual</t>
        </is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Manual</t>
        </is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Manual</t>
        </is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Manual</t>
        </is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Manual</t>
        </is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Manual</t>
        </is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Manual</t>
        </is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Manual</t>
        </is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Manual</t>
        </is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Manual</t>
        </is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Manual</t>
        </is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Manual</t>
        </is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Manual</t>
        </is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Manual</t>
        </is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Manual</t>
        </is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Manual</t>
        </is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Manual</t>
        </is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Manual</t>
        </is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Manual</t>
        </is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Manual</t>
        </is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Manual</t>
        </is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Manual</t>
        </is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Manual</t>
        </is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Manual</t>
        </is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Manual</t>
        </is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Manual</t>
        </is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Manual</t>
        </is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Manual</t>
        </is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Manual</t>
        </is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Manual</t>
        </is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Manual</t>
        </is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Manual</t>
        </is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Manual</t>
        </is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Manual</t>
        </is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Manual</t>
        </is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Manual</t>
        </is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Manual</t>
        </is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Manual</t>
        </is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Manual</t>
        </is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Manual</t>
        </is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Manual</t>
        </is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Manual</t>
        </is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Manual</t>
        </is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Manual</t>
        </is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Manual</t>
        </is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Manual</t>
        </is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Manual</t>
        </is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Manual</t>
        </is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Manual</t>
        </is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Manual</t>
        </is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Manual</t>
        </is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Manual</t>
        </is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Manual</t>
        </is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Manual</t>
        </is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Manual</t>
        </is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Manual</t>
        </is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Manual</t>
        </is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Manual</t>
        </is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Manual</t>
        </is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Manual</t>
        </is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Manual</t>
        </is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Manual</t>
        </is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Manual</t>
        </is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Manual</t>
        </is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Manual</t>
        </is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Manual</t>
        </is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Manual</t>
        </is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Manual</t>
        </is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Manual</t>
        </is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Manual</t>
        </is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Manual</t>
        </is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Manual</t>
        </is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Manual</t>
        </is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Manual</t>
        </is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Manual</t>
        </is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Manual</t>
        </is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Manual</t>
        </is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Manual</t>
        </is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Manual</t>
        </is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Manual</t>
        </is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Manual</t>
        </is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Manual</t>
        </is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Manual</t>
        </is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Manual</t>
        </is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Manual</t>
        </is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Manual</t>
        </is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Manual</t>
        </is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Manual</t>
        </is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Manual</t>
        </is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Manual</t>
        </is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Manual</t>
        </is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Manual</t>
        </is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Manual</t>
        </is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Manual</t>
        </is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Manual</t>
        </is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Manual</t>
        </is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Manual</t>
        </is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Manual</t>
        </is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Manual</t>
        </is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Manual</t>
        </is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Manual</t>
        </is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Manual</t>
        </is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Manual</t>
        </is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Manual</t>
        </is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Manual</t>
        </is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Manual</t>
        </is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Manual</t>
        </is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Manual</t>
        </is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Manual</t>
        </is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Manual</t>
        </is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Manual</t>
        </is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Manual</t>
        </is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Manual</t>
        </is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Manual</t>
        </is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Manual</t>
        </is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Manual</t>
        </is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Manual</t>
        </is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Manual</t>
        </is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Manual</t>
        </is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Manual</t>
        </is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Manual</t>
        </is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Manual</t>
        </is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Manual</t>
        </is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Manual</t>
        </is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Manual</t>
        </is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Manual</t>
        </is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Manual</t>
        </is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Manual</t>
        </is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Manual</t>
        </is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Manual</t>
        </is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Manual</t>
        </is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Manual</t>
        </is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Manual</t>
        </is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Manual</t>
        </is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Manual</t>
        </is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Manual</t>
        </is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Manual</t>
        </is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Manual</t>
        </is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Manual</t>
        </is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Manual</t>
        </is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Manual</t>
        </is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Manual</t>
        </is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Manual</t>
        </is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Manual</t>
        </is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Manual</t>
        </is>
      </c>
    </row>
  </sheetData>
  <dataValidations count="1">
    <dataValidation sqref="B3:B202" showDropDown="0" showInputMessage="0" showErrorMessage="0" allowBlank="1" type="list" errorStyle="stop" operator="between">
      <formula1>Listas!$A$2:$A$14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14" customWidth="1" style="26" min="4" max="6"/>
    <col width="12" customWidth="1" style="26" min="7" max="7"/>
  </cols>
  <sheetData>
    <row r="1" ht="30" customHeight="1" s="27">
      <c r="A1" s="38" t="inlineStr">
        <is>
          <t>ID registro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Hora inicio
registro</t>
        </is>
      </c>
      <c r="E1" s="38" t="inlineStr">
        <is>
          <t>Hora fin
registro</t>
        </is>
      </c>
      <c r="F1" s="38" t="inlineStr">
        <is>
          <t>TPR (min)</t>
        </is>
      </c>
      <c r="G1" s="38" t="inlineStr">
        <is>
          <t>Modalidad</t>
        </is>
      </c>
    </row>
    <row r="2" ht="15" customHeight="1" s="27">
      <c r="A2" s="46" t="inlineStr">
        <is>
          <t>Ej.</t>
        </is>
      </c>
      <c r="B2" s="47" t="n">
        <v>46297</v>
      </c>
      <c r="C2" s="46" t="inlineStr">
        <is>
          <t>PAC-00</t>
        </is>
      </c>
      <c r="D2" s="48" t="n">
        <v>0.3763888888888889</v>
      </c>
      <c r="E2" s="48" t="n">
        <v>0.3815972222222222</v>
      </c>
      <c r="F2" s="49">
        <f>(E2-D2)*1440</f>
        <v/>
      </c>
      <c r="G2" s="46" t="inlineStr">
        <is>
          <t>Sistema</t>
        </is>
      </c>
    </row>
    <row r="3" ht="15" customHeight="1" s="27">
      <c r="A3" s="39">
        <f>IF(B3="","",ROW()-2)</f>
        <v/>
      </c>
      <c r="B3" s="50" t="n"/>
      <c r="C3" s="40" t="n"/>
      <c r="D3" s="51" t="n"/>
      <c r="E3" s="51" t="n"/>
      <c r="F3" s="52">
        <f>IF(OR(D3="",E3=""),"",(E3-D3)*1440)</f>
        <v/>
      </c>
      <c r="G3" s="53" t="inlineStr">
        <is>
          <t>Sistema</t>
        </is>
      </c>
    </row>
    <row r="4" ht="15" customHeight="1" s="27">
      <c r="A4" s="39">
        <f>IF(B4="","",ROW()-2)</f>
        <v/>
      </c>
      <c r="B4" s="50" t="n"/>
      <c r="C4" s="40" t="n"/>
      <c r="D4" s="51" t="n"/>
      <c r="E4" s="51" t="n"/>
      <c r="F4" s="52">
        <f>IF(OR(D4="",E4=""),"",(E4-D4)*1440)</f>
        <v/>
      </c>
      <c r="G4" s="53" t="inlineStr">
        <is>
          <t>Sistema</t>
        </is>
      </c>
    </row>
    <row r="5" ht="15" customHeight="1" s="27">
      <c r="A5" s="39">
        <f>IF(B5="","",ROW()-2)</f>
        <v/>
      </c>
      <c r="B5" s="50" t="n"/>
      <c r="C5" s="40" t="n"/>
      <c r="D5" s="51" t="n"/>
      <c r="E5" s="51" t="n"/>
      <c r="F5" s="52">
        <f>IF(OR(D5="",E5=""),"",(E5-D5)*1440)</f>
        <v/>
      </c>
      <c r="G5" s="53" t="inlineStr">
        <is>
          <t>Sistema</t>
        </is>
      </c>
    </row>
    <row r="6" ht="15" customHeight="1" s="27">
      <c r="A6" s="39">
        <f>IF(B6="","",ROW()-2)</f>
        <v/>
      </c>
      <c r="B6" s="50" t="n"/>
      <c r="C6" s="40" t="n"/>
      <c r="D6" s="51" t="n"/>
      <c r="E6" s="51" t="n"/>
      <c r="F6" s="52">
        <f>IF(OR(D6="",E6=""),"",(E6-D6)*1440)</f>
        <v/>
      </c>
      <c r="G6" s="53" t="inlineStr">
        <is>
          <t>Sistema</t>
        </is>
      </c>
    </row>
    <row r="7" ht="15" customHeight="1" s="27">
      <c r="A7" s="39">
        <f>IF(B7="","",ROW()-2)</f>
        <v/>
      </c>
      <c r="B7" s="50" t="n"/>
      <c r="C7" s="40" t="n"/>
      <c r="D7" s="51" t="n"/>
      <c r="E7" s="51" t="n"/>
      <c r="F7" s="52">
        <f>IF(OR(D7="",E7=""),"",(E7-D7)*1440)</f>
        <v/>
      </c>
      <c r="G7" s="53" t="inlineStr">
        <is>
          <t>Sistema</t>
        </is>
      </c>
    </row>
    <row r="8" ht="15" customHeight="1" s="27">
      <c r="A8" s="39">
        <f>IF(B8="","",ROW()-2)</f>
        <v/>
      </c>
      <c r="B8" s="50" t="n"/>
      <c r="C8" s="40" t="n"/>
      <c r="D8" s="51" t="n"/>
      <c r="E8" s="51" t="n"/>
      <c r="F8" s="52">
        <f>IF(OR(D8="",E8=""),"",(E8-D8)*1440)</f>
        <v/>
      </c>
      <c r="G8" s="53" t="inlineStr">
        <is>
          <t>Sistema</t>
        </is>
      </c>
    </row>
    <row r="9" ht="15" customHeight="1" s="27">
      <c r="A9" s="39">
        <f>IF(B9="","",ROW()-2)</f>
        <v/>
      </c>
      <c r="B9" s="50" t="n"/>
      <c r="C9" s="40" t="n"/>
      <c r="D9" s="51" t="n"/>
      <c r="E9" s="51" t="n"/>
      <c r="F9" s="52">
        <f>IF(OR(D9="",E9=""),"",(E9-D9)*1440)</f>
        <v/>
      </c>
      <c r="G9" s="53" t="inlineStr">
        <is>
          <t>Sistema</t>
        </is>
      </c>
    </row>
    <row r="10" ht="15" customHeight="1" s="27">
      <c r="A10" s="39">
        <f>IF(B10="","",ROW()-2)</f>
        <v/>
      </c>
      <c r="B10" s="50" t="n"/>
      <c r="C10" s="40" t="n"/>
      <c r="D10" s="51" t="n"/>
      <c r="E10" s="51" t="n"/>
      <c r="F10" s="52">
        <f>IF(OR(D10="",E10=""),"",(E10-D10)*1440)</f>
        <v/>
      </c>
      <c r="G10" s="53" t="inlineStr">
        <is>
          <t>Sistema</t>
        </is>
      </c>
    </row>
    <row r="11" ht="15" customHeight="1" s="27">
      <c r="A11" s="39">
        <f>IF(B11="","",ROW()-2)</f>
        <v/>
      </c>
      <c r="B11" s="50" t="n"/>
      <c r="C11" s="40" t="n"/>
      <c r="D11" s="51" t="n"/>
      <c r="E11" s="51" t="n"/>
      <c r="F11" s="52">
        <f>IF(OR(D11="",E11=""),"",(E11-D11)*1440)</f>
        <v/>
      </c>
      <c r="G11" s="53" t="inlineStr">
        <is>
          <t>Sistema</t>
        </is>
      </c>
    </row>
    <row r="12" ht="15" customHeight="1" s="27">
      <c r="A12" s="39">
        <f>IF(B12="","",ROW()-2)</f>
        <v/>
      </c>
      <c r="B12" s="50" t="n"/>
      <c r="C12" s="40" t="n"/>
      <c r="D12" s="51" t="n"/>
      <c r="E12" s="51" t="n"/>
      <c r="F12" s="52">
        <f>IF(OR(D12="",E12=""),"",(E12-D12)*1440)</f>
        <v/>
      </c>
      <c r="G12" s="53" t="inlineStr">
        <is>
          <t>Sistema</t>
        </is>
      </c>
    </row>
    <row r="13" ht="15" customHeight="1" s="27">
      <c r="A13" s="39">
        <f>IF(B13="","",ROW()-2)</f>
        <v/>
      </c>
      <c r="B13" s="50" t="n"/>
      <c r="C13" s="40" t="n"/>
      <c r="D13" s="51" t="n"/>
      <c r="E13" s="51" t="n"/>
      <c r="F13" s="52">
        <f>IF(OR(D13="",E13=""),"",(E13-D13)*1440)</f>
        <v/>
      </c>
      <c r="G13" s="53" t="inlineStr">
        <is>
          <t>Sistema</t>
        </is>
      </c>
    </row>
    <row r="14" ht="15" customHeight="1" s="27">
      <c r="A14" s="39">
        <f>IF(B14="","",ROW()-2)</f>
        <v/>
      </c>
      <c r="B14" s="50" t="n"/>
      <c r="C14" s="40" t="n"/>
      <c r="D14" s="51" t="n"/>
      <c r="E14" s="51" t="n"/>
      <c r="F14" s="52">
        <f>IF(OR(D14="",E14=""),"",(E14-D14)*1440)</f>
        <v/>
      </c>
      <c r="G14" s="53" t="inlineStr">
        <is>
          <t>Sistema</t>
        </is>
      </c>
    </row>
    <row r="15" ht="15" customHeight="1" s="27">
      <c r="A15" s="39">
        <f>IF(B15="","",ROW()-2)</f>
        <v/>
      </c>
      <c r="B15" s="50" t="n"/>
      <c r="C15" s="40" t="n"/>
      <c r="D15" s="51" t="n"/>
      <c r="E15" s="51" t="n"/>
      <c r="F15" s="52">
        <f>IF(OR(D15="",E15=""),"",(E15-D15)*1440)</f>
        <v/>
      </c>
      <c r="G15" s="53" t="inlineStr">
        <is>
          <t>Sistema</t>
        </is>
      </c>
    </row>
    <row r="16" ht="15" customHeight="1" s="27">
      <c r="A16" s="39">
        <f>IF(B16="","",ROW()-2)</f>
        <v/>
      </c>
      <c r="B16" s="50" t="n"/>
      <c r="C16" s="40" t="n"/>
      <c r="D16" s="51" t="n"/>
      <c r="E16" s="51" t="n"/>
      <c r="F16" s="52">
        <f>IF(OR(D16="",E16=""),"",(E16-D16)*1440)</f>
        <v/>
      </c>
      <c r="G16" s="53" t="inlineStr">
        <is>
          <t>Sistema</t>
        </is>
      </c>
    </row>
    <row r="17" ht="15" customHeight="1" s="27">
      <c r="A17" s="39">
        <f>IF(B17="","",ROW()-2)</f>
        <v/>
      </c>
      <c r="B17" s="50" t="n"/>
      <c r="C17" s="40" t="n"/>
      <c r="D17" s="51" t="n"/>
      <c r="E17" s="51" t="n"/>
      <c r="F17" s="52">
        <f>IF(OR(D17="",E17=""),"",(E17-D17)*1440)</f>
        <v/>
      </c>
      <c r="G17" s="53" t="inlineStr">
        <is>
          <t>Sistema</t>
        </is>
      </c>
    </row>
    <row r="18" ht="15" customHeight="1" s="27">
      <c r="A18" s="39">
        <f>IF(B18="","",ROW()-2)</f>
        <v/>
      </c>
      <c r="B18" s="50" t="n"/>
      <c r="C18" s="40" t="n"/>
      <c r="D18" s="51" t="n"/>
      <c r="E18" s="51" t="n"/>
      <c r="F18" s="52">
        <f>IF(OR(D18="",E18=""),"",(E18-D18)*1440)</f>
        <v/>
      </c>
      <c r="G18" s="53" t="inlineStr">
        <is>
          <t>Sistema</t>
        </is>
      </c>
    </row>
    <row r="19" ht="15" customHeight="1" s="27">
      <c r="A19" s="39">
        <f>IF(B19="","",ROW()-2)</f>
        <v/>
      </c>
      <c r="B19" s="50" t="n"/>
      <c r="C19" s="40" t="n"/>
      <c r="D19" s="51" t="n"/>
      <c r="E19" s="51" t="n"/>
      <c r="F19" s="52">
        <f>IF(OR(D19="",E19=""),"",(E19-D19)*1440)</f>
        <v/>
      </c>
      <c r="G19" s="53" t="inlineStr">
        <is>
          <t>Sistema</t>
        </is>
      </c>
    </row>
    <row r="20" ht="15" customHeight="1" s="27">
      <c r="A20" s="39">
        <f>IF(B20="","",ROW()-2)</f>
        <v/>
      </c>
      <c r="B20" s="50" t="n"/>
      <c r="C20" s="40" t="n"/>
      <c r="D20" s="51" t="n"/>
      <c r="E20" s="51" t="n"/>
      <c r="F20" s="52">
        <f>IF(OR(D20="",E20=""),"",(E20-D20)*1440)</f>
        <v/>
      </c>
      <c r="G20" s="53" t="inlineStr">
        <is>
          <t>Sistema</t>
        </is>
      </c>
    </row>
    <row r="21" ht="15" customHeight="1" s="27">
      <c r="A21" s="39">
        <f>IF(B21="","",ROW()-2)</f>
        <v/>
      </c>
      <c r="B21" s="50" t="n"/>
      <c r="C21" s="40" t="n"/>
      <c r="D21" s="51" t="n"/>
      <c r="E21" s="51" t="n"/>
      <c r="F21" s="52">
        <f>IF(OR(D21="",E21=""),"",(E21-D21)*1440)</f>
        <v/>
      </c>
      <c r="G21" s="53" t="inlineStr">
        <is>
          <t>Sistema</t>
        </is>
      </c>
    </row>
    <row r="22" ht="15" customHeight="1" s="27">
      <c r="A22" s="39">
        <f>IF(B22="","",ROW()-2)</f>
        <v/>
      </c>
      <c r="B22" s="50" t="n"/>
      <c r="C22" s="40" t="n"/>
      <c r="D22" s="51" t="n"/>
      <c r="E22" s="51" t="n"/>
      <c r="F22" s="52">
        <f>IF(OR(D22="",E22=""),"",(E22-D22)*1440)</f>
        <v/>
      </c>
      <c r="G22" s="53" t="inlineStr">
        <is>
          <t>Sistema</t>
        </is>
      </c>
    </row>
    <row r="23" ht="15" customHeight="1" s="27">
      <c r="A23" s="39">
        <f>IF(B23="","",ROW()-2)</f>
        <v/>
      </c>
      <c r="B23" s="50" t="n"/>
      <c r="C23" s="40" t="n"/>
      <c r="D23" s="51" t="n"/>
      <c r="E23" s="51" t="n"/>
      <c r="F23" s="52">
        <f>IF(OR(D23="",E23=""),"",(E23-D23)*1440)</f>
        <v/>
      </c>
      <c r="G23" s="53" t="inlineStr">
        <is>
          <t>Sistema</t>
        </is>
      </c>
    </row>
    <row r="24" ht="15" customHeight="1" s="27">
      <c r="A24" s="39">
        <f>IF(B24="","",ROW()-2)</f>
        <v/>
      </c>
      <c r="B24" s="50" t="n"/>
      <c r="C24" s="40" t="n"/>
      <c r="D24" s="51" t="n"/>
      <c r="E24" s="51" t="n"/>
      <c r="F24" s="52">
        <f>IF(OR(D24="",E24=""),"",(E24-D24)*1440)</f>
        <v/>
      </c>
      <c r="G24" s="53" t="inlineStr">
        <is>
          <t>Sistema</t>
        </is>
      </c>
    </row>
    <row r="25" ht="15" customHeight="1" s="27">
      <c r="A25" s="39">
        <f>IF(B25="","",ROW()-2)</f>
        <v/>
      </c>
      <c r="B25" s="50" t="n"/>
      <c r="C25" s="40" t="n"/>
      <c r="D25" s="51" t="n"/>
      <c r="E25" s="51" t="n"/>
      <c r="F25" s="52">
        <f>IF(OR(D25="",E25=""),"",(E25-D25)*1440)</f>
        <v/>
      </c>
      <c r="G25" s="53" t="inlineStr">
        <is>
          <t>Sistema</t>
        </is>
      </c>
    </row>
    <row r="26" ht="15" customHeight="1" s="27">
      <c r="A26" s="39">
        <f>IF(B26="","",ROW()-2)</f>
        <v/>
      </c>
      <c r="B26" s="50" t="n"/>
      <c r="C26" s="40" t="n"/>
      <c r="D26" s="51" t="n"/>
      <c r="E26" s="51" t="n"/>
      <c r="F26" s="52">
        <f>IF(OR(D26="",E26=""),"",(E26-D26)*1440)</f>
        <v/>
      </c>
      <c r="G26" s="53" t="inlineStr">
        <is>
          <t>Sistema</t>
        </is>
      </c>
    </row>
    <row r="27" ht="15" customHeight="1" s="27">
      <c r="A27" s="39">
        <f>IF(B27="","",ROW()-2)</f>
        <v/>
      </c>
      <c r="B27" s="50" t="n"/>
      <c r="C27" s="40" t="n"/>
      <c r="D27" s="51" t="n"/>
      <c r="E27" s="51" t="n"/>
      <c r="F27" s="52">
        <f>IF(OR(D27="",E27=""),"",(E27-D27)*1440)</f>
        <v/>
      </c>
      <c r="G27" s="53" t="inlineStr">
        <is>
          <t>Sistema</t>
        </is>
      </c>
    </row>
    <row r="28" ht="15" customHeight="1" s="27">
      <c r="A28" s="39">
        <f>IF(B28="","",ROW()-2)</f>
        <v/>
      </c>
      <c r="B28" s="50" t="n"/>
      <c r="C28" s="40" t="n"/>
      <c r="D28" s="51" t="n"/>
      <c r="E28" s="51" t="n"/>
      <c r="F28" s="52">
        <f>IF(OR(D28="",E28=""),"",(E28-D28)*1440)</f>
        <v/>
      </c>
      <c r="G28" s="53" t="inlineStr">
        <is>
          <t>Sistema</t>
        </is>
      </c>
    </row>
    <row r="29" ht="15" customHeight="1" s="27">
      <c r="A29" s="39">
        <f>IF(B29="","",ROW()-2)</f>
        <v/>
      </c>
      <c r="B29" s="50" t="n"/>
      <c r="C29" s="40" t="n"/>
      <c r="D29" s="51" t="n"/>
      <c r="E29" s="51" t="n"/>
      <c r="F29" s="52">
        <f>IF(OR(D29="",E29=""),"",(E29-D29)*1440)</f>
        <v/>
      </c>
      <c r="G29" s="53" t="inlineStr">
        <is>
          <t>Sistema</t>
        </is>
      </c>
    </row>
    <row r="30" ht="15" customHeight="1" s="27">
      <c r="A30" s="39">
        <f>IF(B30="","",ROW()-2)</f>
        <v/>
      </c>
      <c r="B30" s="50" t="n"/>
      <c r="C30" s="40" t="n"/>
      <c r="D30" s="51" t="n"/>
      <c r="E30" s="51" t="n"/>
      <c r="F30" s="52">
        <f>IF(OR(D30="",E30=""),"",(E30-D30)*1440)</f>
        <v/>
      </c>
      <c r="G30" s="53" t="inlineStr">
        <is>
          <t>Sistema</t>
        </is>
      </c>
    </row>
    <row r="31" ht="15" customHeight="1" s="27">
      <c r="A31" s="39">
        <f>IF(B31="","",ROW()-2)</f>
        <v/>
      </c>
      <c r="B31" s="50" t="n"/>
      <c r="C31" s="40" t="n"/>
      <c r="D31" s="51" t="n"/>
      <c r="E31" s="51" t="n"/>
      <c r="F31" s="52">
        <f>IF(OR(D31="",E31=""),"",(E31-D31)*1440)</f>
        <v/>
      </c>
      <c r="G31" s="53" t="inlineStr">
        <is>
          <t>Sistema</t>
        </is>
      </c>
    </row>
    <row r="32" ht="15" customHeight="1" s="27">
      <c r="A32" s="39">
        <f>IF(B32="","",ROW()-2)</f>
        <v/>
      </c>
      <c r="B32" s="50" t="n"/>
      <c r="C32" s="40" t="n"/>
      <c r="D32" s="51" t="n"/>
      <c r="E32" s="51" t="n"/>
      <c r="F32" s="52">
        <f>IF(OR(D32="",E32=""),"",(E32-D32)*1440)</f>
        <v/>
      </c>
      <c r="G32" s="53" t="inlineStr">
        <is>
          <t>Sistema</t>
        </is>
      </c>
    </row>
    <row r="33" ht="15" customHeight="1" s="27">
      <c r="A33" s="39">
        <f>IF(B33="","",ROW()-2)</f>
        <v/>
      </c>
      <c r="B33" s="50" t="n"/>
      <c r="C33" s="40" t="n"/>
      <c r="D33" s="51" t="n"/>
      <c r="E33" s="51" t="n"/>
      <c r="F33" s="52">
        <f>IF(OR(D33="",E33=""),"",(E33-D33)*1440)</f>
        <v/>
      </c>
      <c r="G33" s="53" t="inlineStr">
        <is>
          <t>Sistema</t>
        </is>
      </c>
    </row>
    <row r="34" ht="15" customHeight="1" s="27">
      <c r="A34" s="39">
        <f>IF(B34="","",ROW()-2)</f>
        <v/>
      </c>
      <c r="B34" s="50" t="n"/>
      <c r="C34" s="40" t="n"/>
      <c r="D34" s="51" t="n"/>
      <c r="E34" s="51" t="n"/>
      <c r="F34" s="52">
        <f>IF(OR(D34="",E34=""),"",(E34-D34)*1440)</f>
        <v/>
      </c>
      <c r="G34" s="53" t="inlineStr">
        <is>
          <t>Sistema</t>
        </is>
      </c>
    </row>
    <row r="35" ht="15" customHeight="1" s="27">
      <c r="A35" s="39">
        <f>IF(B35="","",ROW()-2)</f>
        <v/>
      </c>
      <c r="B35" s="50" t="n"/>
      <c r="C35" s="40" t="n"/>
      <c r="D35" s="51" t="n"/>
      <c r="E35" s="51" t="n"/>
      <c r="F35" s="52">
        <f>IF(OR(D35="",E35=""),"",(E35-D35)*1440)</f>
        <v/>
      </c>
      <c r="G35" s="53" t="inlineStr">
        <is>
          <t>Sistema</t>
        </is>
      </c>
    </row>
    <row r="36" ht="15" customHeight="1" s="27">
      <c r="A36" s="39">
        <f>IF(B36="","",ROW()-2)</f>
        <v/>
      </c>
      <c r="B36" s="50" t="n"/>
      <c r="C36" s="40" t="n"/>
      <c r="D36" s="51" t="n"/>
      <c r="E36" s="51" t="n"/>
      <c r="F36" s="52">
        <f>IF(OR(D36="",E36=""),"",(E36-D36)*1440)</f>
        <v/>
      </c>
      <c r="G36" s="53" t="inlineStr">
        <is>
          <t>Sistema</t>
        </is>
      </c>
    </row>
    <row r="37" ht="15" customHeight="1" s="27">
      <c r="A37" s="39">
        <f>IF(B37="","",ROW()-2)</f>
        <v/>
      </c>
      <c r="B37" s="50" t="n"/>
      <c r="C37" s="40" t="n"/>
      <c r="D37" s="51" t="n"/>
      <c r="E37" s="51" t="n"/>
      <c r="F37" s="52">
        <f>IF(OR(D37="",E37=""),"",(E37-D37)*1440)</f>
        <v/>
      </c>
      <c r="G37" s="53" t="inlineStr">
        <is>
          <t>Sistema</t>
        </is>
      </c>
    </row>
    <row r="38" ht="15" customHeight="1" s="27">
      <c r="A38" s="39">
        <f>IF(B38="","",ROW()-2)</f>
        <v/>
      </c>
      <c r="B38" s="50" t="n"/>
      <c r="C38" s="40" t="n"/>
      <c r="D38" s="51" t="n"/>
      <c r="E38" s="51" t="n"/>
      <c r="F38" s="52">
        <f>IF(OR(D38="",E38=""),"",(E38-D38)*1440)</f>
        <v/>
      </c>
      <c r="G38" s="53" t="inlineStr">
        <is>
          <t>Sistema</t>
        </is>
      </c>
    </row>
    <row r="39" ht="15" customHeight="1" s="27">
      <c r="A39" s="39">
        <f>IF(B39="","",ROW()-2)</f>
        <v/>
      </c>
      <c r="B39" s="50" t="n"/>
      <c r="C39" s="40" t="n"/>
      <c r="D39" s="51" t="n"/>
      <c r="E39" s="51" t="n"/>
      <c r="F39" s="52">
        <f>IF(OR(D39="",E39=""),"",(E39-D39)*1440)</f>
        <v/>
      </c>
      <c r="G39" s="53" t="inlineStr">
        <is>
          <t>Sistema</t>
        </is>
      </c>
    </row>
    <row r="40" ht="15" customHeight="1" s="27">
      <c r="A40" s="39">
        <f>IF(B40="","",ROW()-2)</f>
        <v/>
      </c>
      <c r="B40" s="50" t="n"/>
      <c r="C40" s="40" t="n"/>
      <c r="D40" s="51" t="n"/>
      <c r="E40" s="51" t="n"/>
      <c r="F40" s="52">
        <f>IF(OR(D40="",E40=""),"",(E40-D40)*1440)</f>
        <v/>
      </c>
      <c r="G40" s="53" t="inlineStr">
        <is>
          <t>Sistema</t>
        </is>
      </c>
    </row>
    <row r="41" ht="15" customHeight="1" s="27">
      <c r="A41" s="39">
        <f>IF(B41="","",ROW()-2)</f>
        <v/>
      </c>
      <c r="B41" s="50" t="n"/>
      <c r="C41" s="40" t="n"/>
      <c r="D41" s="51" t="n"/>
      <c r="E41" s="51" t="n"/>
      <c r="F41" s="52">
        <f>IF(OR(D41="",E41=""),"",(E41-D41)*1440)</f>
        <v/>
      </c>
      <c r="G41" s="53" t="inlineStr">
        <is>
          <t>Sistema</t>
        </is>
      </c>
    </row>
    <row r="42" ht="15" customHeight="1" s="27">
      <c r="A42" s="39">
        <f>IF(B42="","",ROW()-2)</f>
        <v/>
      </c>
      <c r="B42" s="50" t="n"/>
      <c r="C42" s="40" t="n"/>
      <c r="D42" s="51" t="n"/>
      <c r="E42" s="51" t="n"/>
      <c r="F42" s="52">
        <f>IF(OR(D42="",E42=""),"",(E42-D42)*1440)</f>
        <v/>
      </c>
      <c r="G42" s="53" t="inlineStr">
        <is>
          <t>Sistema</t>
        </is>
      </c>
    </row>
    <row r="43" ht="15" customHeight="1" s="27">
      <c r="A43" s="39">
        <f>IF(B43="","",ROW()-2)</f>
        <v/>
      </c>
      <c r="B43" s="50" t="n"/>
      <c r="C43" s="40" t="n"/>
      <c r="D43" s="51" t="n"/>
      <c r="E43" s="51" t="n"/>
      <c r="F43" s="52">
        <f>IF(OR(D43="",E43=""),"",(E43-D43)*1440)</f>
        <v/>
      </c>
      <c r="G43" s="53" t="inlineStr">
        <is>
          <t>Sistema</t>
        </is>
      </c>
    </row>
    <row r="44" ht="15" customHeight="1" s="27">
      <c r="A44" s="39">
        <f>IF(B44="","",ROW()-2)</f>
        <v/>
      </c>
      <c r="B44" s="50" t="n"/>
      <c r="C44" s="40" t="n"/>
      <c r="D44" s="51" t="n"/>
      <c r="E44" s="51" t="n"/>
      <c r="F44" s="52">
        <f>IF(OR(D44="",E44=""),"",(E44-D44)*1440)</f>
        <v/>
      </c>
      <c r="G44" s="53" t="inlineStr">
        <is>
          <t>Sistema</t>
        </is>
      </c>
    </row>
    <row r="45" ht="15" customHeight="1" s="27">
      <c r="A45" s="39">
        <f>IF(B45="","",ROW()-2)</f>
        <v/>
      </c>
      <c r="B45" s="50" t="n"/>
      <c r="C45" s="40" t="n"/>
      <c r="D45" s="51" t="n"/>
      <c r="E45" s="51" t="n"/>
      <c r="F45" s="52">
        <f>IF(OR(D45="",E45=""),"",(E45-D45)*1440)</f>
        <v/>
      </c>
      <c r="G45" s="53" t="inlineStr">
        <is>
          <t>Sistema</t>
        </is>
      </c>
    </row>
    <row r="46" ht="15" customHeight="1" s="27">
      <c r="A46" s="39">
        <f>IF(B46="","",ROW()-2)</f>
        <v/>
      </c>
      <c r="B46" s="50" t="n"/>
      <c r="C46" s="40" t="n"/>
      <c r="D46" s="51" t="n"/>
      <c r="E46" s="51" t="n"/>
      <c r="F46" s="52">
        <f>IF(OR(D46="",E46=""),"",(E46-D46)*1440)</f>
        <v/>
      </c>
      <c r="G46" s="53" t="inlineStr">
        <is>
          <t>Sistema</t>
        </is>
      </c>
    </row>
    <row r="47" ht="15" customHeight="1" s="27">
      <c r="A47" s="39">
        <f>IF(B47="","",ROW()-2)</f>
        <v/>
      </c>
      <c r="B47" s="50" t="n"/>
      <c r="C47" s="40" t="n"/>
      <c r="D47" s="51" t="n"/>
      <c r="E47" s="51" t="n"/>
      <c r="F47" s="52">
        <f>IF(OR(D47="",E47=""),"",(E47-D47)*1440)</f>
        <v/>
      </c>
      <c r="G47" s="53" t="inlineStr">
        <is>
          <t>Sistema</t>
        </is>
      </c>
    </row>
    <row r="48" ht="15" customHeight="1" s="27">
      <c r="A48" s="39">
        <f>IF(B48="","",ROW()-2)</f>
        <v/>
      </c>
      <c r="B48" s="50" t="n"/>
      <c r="C48" s="40" t="n"/>
      <c r="D48" s="51" t="n"/>
      <c r="E48" s="51" t="n"/>
      <c r="F48" s="52">
        <f>IF(OR(D48="",E48=""),"",(E48-D48)*1440)</f>
        <v/>
      </c>
      <c r="G48" s="53" t="inlineStr">
        <is>
          <t>Sistema</t>
        </is>
      </c>
    </row>
    <row r="49" ht="15" customHeight="1" s="27">
      <c r="A49" s="39">
        <f>IF(B49="","",ROW()-2)</f>
        <v/>
      </c>
      <c r="B49" s="50" t="n"/>
      <c r="C49" s="40" t="n"/>
      <c r="D49" s="51" t="n"/>
      <c r="E49" s="51" t="n"/>
      <c r="F49" s="52">
        <f>IF(OR(D49="",E49=""),"",(E49-D49)*1440)</f>
        <v/>
      </c>
      <c r="G49" s="53" t="inlineStr">
        <is>
          <t>Sistema</t>
        </is>
      </c>
    </row>
    <row r="50" ht="15" customHeight="1" s="27">
      <c r="A50" s="39">
        <f>IF(B50="","",ROW()-2)</f>
        <v/>
      </c>
      <c r="B50" s="50" t="n"/>
      <c r="C50" s="40" t="n"/>
      <c r="D50" s="51" t="n"/>
      <c r="E50" s="51" t="n"/>
      <c r="F50" s="52">
        <f>IF(OR(D50="",E50=""),"",(E50-D50)*1440)</f>
        <v/>
      </c>
      <c r="G50" s="53" t="inlineStr">
        <is>
          <t>Sistema</t>
        </is>
      </c>
    </row>
    <row r="51" ht="15" customHeight="1" s="27">
      <c r="A51" s="39">
        <f>IF(B51="","",ROW()-2)</f>
        <v/>
      </c>
      <c r="B51" s="50" t="n"/>
      <c r="C51" s="40" t="n"/>
      <c r="D51" s="51" t="n"/>
      <c r="E51" s="51" t="n"/>
      <c r="F51" s="52">
        <f>IF(OR(D51="",E51=""),"",(E51-D51)*1440)</f>
        <v/>
      </c>
      <c r="G51" s="53" t="inlineStr">
        <is>
          <t>Sistema</t>
        </is>
      </c>
    </row>
    <row r="52" ht="15" customHeight="1" s="27">
      <c r="A52" s="39">
        <f>IF(B52="","",ROW()-2)</f>
        <v/>
      </c>
      <c r="B52" s="50" t="n"/>
      <c r="C52" s="40" t="n"/>
      <c r="D52" s="51" t="n"/>
      <c r="E52" s="51" t="n"/>
      <c r="F52" s="52">
        <f>IF(OR(D52="",E52=""),"",(E52-D52)*1440)</f>
        <v/>
      </c>
      <c r="G52" s="53" t="inlineStr">
        <is>
          <t>Sistema</t>
        </is>
      </c>
    </row>
    <row r="53" ht="15" customHeight="1" s="27">
      <c r="A53" s="39">
        <f>IF(B53="","",ROW()-2)</f>
        <v/>
      </c>
      <c r="B53" s="50" t="n"/>
      <c r="C53" s="40" t="n"/>
      <c r="D53" s="51" t="n"/>
      <c r="E53" s="51" t="n"/>
      <c r="F53" s="52">
        <f>IF(OR(D53="",E53=""),"",(E53-D53)*1440)</f>
        <v/>
      </c>
      <c r="G53" s="53" t="inlineStr">
        <is>
          <t>Sistema</t>
        </is>
      </c>
    </row>
    <row r="54" ht="15" customHeight="1" s="27">
      <c r="A54" s="39">
        <f>IF(B54="","",ROW()-2)</f>
        <v/>
      </c>
      <c r="B54" s="50" t="n"/>
      <c r="C54" s="40" t="n"/>
      <c r="D54" s="51" t="n"/>
      <c r="E54" s="51" t="n"/>
      <c r="F54" s="52">
        <f>IF(OR(D54="",E54=""),"",(E54-D54)*1440)</f>
        <v/>
      </c>
      <c r="G54" s="53" t="inlineStr">
        <is>
          <t>Sistema</t>
        </is>
      </c>
    </row>
    <row r="55" ht="15" customHeight="1" s="27">
      <c r="A55" s="39">
        <f>IF(B55="","",ROW()-2)</f>
        <v/>
      </c>
      <c r="B55" s="50" t="n"/>
      <c r="C55" s="40" t="n"/>
      <c r="D55" s="51" t="n"/>
      <c r="E55" s="51" t="n"/>
      <c r="F55" s="52">
        <f>IF(OR(D55="",E55=""),"",(E55-D55)*1440)</f>
        <v/>
      </c>
      <c r="G55" s="53" t="inlineStr">
        <is>
          <t>Sistema</t>
        </is>
      </c>
    </row>
    <row r="56" ht="15" customHeight="1" s="27">
      <c r="A56" s="39">
        <f>IF(B56="","",ROW()-2)</f>
        <v/>
      </c>
      <c r="B56" s="50" t="n"/>
      <c r="C56" s="40" t="n"/>
      <c r="D56" s="51" t="n"/>
      <c r="E56" s="51" t="n"/>
      <c r="F56" s="52">
        <f>IF(OR(D56="",E56=""),"",(E56-D56)*1440)</f>
        <v/>
      </c>
      <c r="G56" s="53" t="inlineStr">
        <is>
          <t>Sistema</t>
        </is>
      </c>
    </row>
    <row r="57" ht="15" customHeight="1" s="27">
      <c r="A57" s="39">
        <f>IF(B57="","",ROW()-2)</f>
        <v/>
      </c>
      <c r="B57" s="50" t="n"/>
      <c r="C57" s="40" t="n"/>
      <c r="D57" s="51" t="n"/>
      <c r="E57" s="51" t="n"/>
      <c r="F57" s="52">
        <f>IF(OR(D57="",E57=""),"",(E57-D57)*1440)</f>
        <v/>
      </c>
      <c r="G57" s="53" t="inlineStr">
        <is>
          <t>Sistema</t>
        </is>
      </c>
    </row>
    <row r="58" ht="15" customHeight="1" s="27">
      <c r="A58" s="39">
        <f>IF(B58="","",ROW()-2)</f>
        <v/>
      </c>
      <c r="B58" s="50" t="n"/>
      <c r="C58" s="40" t="n"/>
      <c r="D58" s="51" t="n"/>
      <c r="E58" s="51" t="n"/>
      <c r="F58" s="52">
        <f>IF(OR(D58="",E58=""),"",(E58-D58)*1440)</f>
        <v/>
      </c>
      <c r="G58" s="53" t="inlineStr">
        <is>
          <t>Sistema</t>
        </is>
      </c>
    </row>
    <row r="59" ht="15" customHeight="1" s="27">
      <c r="A59" s="39">
        <f>IF(B59="","",ROW()-2)</f>
        <v/>
      </c>
      <c r="B59" s="50" t="n"/>
      <c r="C59" s="40" t="n"/>
      <c r="D59" s="51" t="n"/>
      <c r="E59" s="51" t="n"/>
      <c r="F59" s="52">
        <f>IF(OR(D59="",E59=""),"",(E59-D59)*1440)</f>
        <v/>
      </c>
      <c r="G59" s="53" t="inlineStr">
        <is>
          <t>Sistema</t>
        </is>
      </c>
    </row>
    <row r="60" ht="15" customHeight="1" s="27">
      <c r="A60" s="39">
        <f>IF(B60="","",ROW()-2)</f>
        <v/>
      </c>
      <c r="B60" s="50" t="n"/>
      <c r="C60" s="40" t="n"/>
      <c r="D60" s="51" t="n"/>
      <c r="E60" s="51" t="n"/>
      <c r="F60" s="52">
        <f>IF(OR(D60="",E60=""),"",(E60-D60)*1440)</f>
        <v/>
      </c>
      <c r="G60" s="53" t="inlineStr">
        <is>
          <t>Sistema</t>
        </is>
      </c>
    </row>
    <row r="61" ht="15" customHeight="1" s="27">
      <c r="A61" s="39">
        <f>IF(B61="","",ROW()-2)</f>
        <v/>
      </c>
      <c r="B61" s="50" t="n"/>
      <c r="C61" s="40" t="n"/>
      <c r="D61" s="51" t="n"/>
      <c r="E61" s="51" t="n"/>
      <c r="F61" s="52">
        <f>IF(OR(D61="",E61=""),"",(E61-D61)*1440)</f>
        <v/>
      </c>
      <c r="G61" s="53" t="inlineStr">
        <is>
          <t>Sistema</t>
        </is>
      </c>
    </row>
    <row r="62" ht="15" customHeight="1" s="27">
      <c r="A62" s="39">
        <f>IF(B62="","",ROW()-2)</f>
        <v/>
      </c>
      <c r="B62" s="50" t="n"/>
      <c r="C62" s="40" t="n"/>
      <c r="D62" s="51" t="n"/>
      <c r="E62" s="51" t="n"/>
      <c r="F62" s="52">
        <f>IF(OR(D62="",E62=""),"",(E62-D62)*1440)</f>
        <v/>
      </c>
      <c r="G62" s="53" t="inlineStr">
        <is>
          <t>Sistema</t>
        </is>
      </c>
    </row>
    <row r="63" ht="15" customHeight="1" s="27">
      <c r="A63" s="39">
        <f>IF(B63="","",ROW()-2)</f>
        <v/>
      </c>
      <c r="B63" s="50" t="n"/>
      <c r="C63" s="40" t="n"/>
      <c r="D63" s="51" t="n"/>
      <c r="E63" s="51" t="n"/>
      <c r="F63" s="52">
        <f>IF(OR(D63="",E63=""),"",(E63-D63)*1440)</f>
        <v/>
      </c>
      <c r="G63" s="53" t="inlineStr">
        <is>
          <t>Sistema</t>
        </is>
      </c>
    </row>
    <row r="64" ht="15" customHeight="1" s="27">
      <c r="A64" s="39">
        <f>IF(B64="","",ROW()-2)</f>
        <v/>
      </c>
      <c r="B64" s="50" t="n"/>
      <c r="C64" s="40" t="n"/>
      <c r="D64" s="51" t="n"/>
      <c r="E64" s="51" t="n"/>
      <c r="F64" s="52">
        <f>IF(OR(D64="",E64=""),"",(E64-D64)*1440)</f>
        <v/>
      </c>
      <c r="G64" s="53" t="inlineStr">
        <is>
          <t>Sistema</t>
        </is>
      </c>
    </row>
    <row r="65" ht="15" customHeight="1" s="27">
      <c r="A65" s="39">
        <f>IF(B65="","",ROW()-2)</f>
        <v/>
      </c>
      <c r="B65" s="50" t="n"/>
      <c r="C65" s="40" t="n"/>
      <c r="D65" s="51" t="n"/>
      <c r="E65" s="51" t="n"/>
      <c r="F65" s="52">
        <f>IF(OR(D65="",E65=""),"",(E65-D65)*1440)</f>
        <v/>
      </c>
      <c r="G65" s="53" t="inlineStr">
        <is>
          <t>Sistema</t>
        </is>
      </c>
    </row>
    <row r="66" ht="15" customHeight="1" s="27">
      <c r="A66" s="39">
        <f>IF(B66="","",ROW()-2)</f>
        <v/>
      </c>
      <c r="B66" s="50" t="n"/>
      <c r="C66" s="40" t="n"/>
      <c r="D66" s="51" t="n"/>
      <c r="E66" s="51" t="n"/>
      <c r="F66" s="52">
        <f>IF(OR(D66="",E66=""),"",(E66-D66)*1440)</f>
        <v/>
      </c>
      <c r="G66" s="53" t="inlineStr">
        <is>
          <t>Sistema</t>
        </is>
      </c>
    </row>
    <row r="67" ht="15" customHeight="1" s="27">
      <c r="A67" s="39">
        <f>IF(B67="","",ROW()-2)</f>
        <v/>
      </c>
      <c r="B67" s="50" t="n"/>
      <c r="C67" s="40" t="n"/>
      <c r="D67" s="51" t="n"/>
      <c r="E67" s="51" t="n"/>
      <c r="F67" s="52">
        <f>IF(OR(D67="",E67=""),"",(E67-D67)*1440)</f>
        <v/>
      </c>
      <c r="G67" s="53" t="inlineStr">
        <is>
          <t>Sistema</t>
        </is>
      </c>
    </row>
    <row r="68" ht="15" customHeight="1" s="27">
      <c r="A68" s="39">
        <f>IF(B68="","",ROW()-2)</f>
        <v/>
      </c>
      <c r="B68" s="50" t="n"/>
      <c r="C68" s="40" t="n"/>
      <c r="D68" s="51" t="n"/>
      <c r="E68" s="51" t="n"/>
      <c r="F68" s="52">
        <f>IF(OR(D68="",E68=""),"",(E68-D68)*1440)</f>
        <v/>
      </c>
      <c r="G68" s="53" t="inlineStr">
        <is>
          <t>Sistema</t>
        </is>
      </c>
    </row>
    <row r="69" ht="15" customHeight="1" s="27">
      <c r="A69" s="39">
        <f>IF(B69="","",ROW()-2)</f>
        <v/>
      </c>
      <c r="B69" s="50" t="n"/>
      <c r="C69" s="40" t="n"/>
      <c r="D69" s="51" t="n"/>
      <c r="E69" s="51" t="n"/>
      <c r="F69" s="52">
        <f>IF(OR(D69="",E69=""),"",(E69-D69)*1440)</f>
        <v/>
      </c>
      <c r="G69" s="53" t="inlineStr">
        <is>
          <t>Sistema</t>
        </is>
      </c>
    </row>
    <row r="70" ht="15" customHeight="1" s="27">
      <c r="A70" s="39">
        <f>IF(B70="","",ROW()-2)</f>
        <v/>
      </c>
      <c r="B70" s="50" t="n"/>
      <c r="C70" s="40" t="n"/>
      <c r="D70" s="51" t="n"/>
      <c r="E70" s="51" t="n"/>
      <c r="F70" s="52">
        <f>IF(OR(D70="",E70=""),"",(E70-D70)*1440)</f>
        <v/>
      </c>
      <c r="G70" s="53" t="inlineStr">
        <is>
          <t>Sistema</t>
        </is>
      </c>
    </row>
    <row r="71" ht="15" customHeight="1" s="27">
      <c r="A71" s="39">
        <f>IF(B71="","",ROW()-2)</f>
        <v/>
      </c>
      <c r="B71" s="50" t="n"/>
      <c r="C71" s="40" t="n"/>
      <c r="D71" s="51" t="n"/>
      <c r="E71" s="51" t="n"/>
      <c r="F71" s="52">
        <f>IF(OR(D71="",E71=""),"",(E71-D71)*1440)</f>
        <v/>
      </c>
      <c r="G71" s="53" t="inlineStr">
        <is>
          <t>Sistema</t>
        </is>
      </c>
    </row>
    <row r="72" ht="15" customHeight="1" s="27">
      <c r="A72" s="39">
        <f>IF(B72="","",ROW()-2)</f>
        <v/>
      </c>
      <c r="B72" s="50" t="n"/>
      <c r="C72" s="40" t="n"/>
      <c r="D72" s="51" t="n"/>
      <c r="E72" s="51" t="n"/>
      <c r="F72" s="52">
        <f>IF(OR(D72="",E72=""),"",(E72-D72)*1440)</f>
        <v/>
      </c>
      <c r="G72" s="53" t="inlineStr">
        <is>
          <t>Sistema</t>
        </is>
      </c>
    </row>
    <row r="73" ht="15" customHeight="1" s="27">
      <c r="A73" s="39">
        <f>IF(B73="","",ROW()-2)</f>
        <v/>
      </c>
      <c r="B73" s="50" t="n"/>
      <c r="C73" s="40" t="n"/>
      <c r="D73" s="51" t="n"/>
      <c r="E73" s="51" t="n"/>
      <c r="F73" s="52">
        <f>IF(OR(D73="",E73=""),"",(E73-D73)*1440)</f>
        <v/>
      </c>
      <c r="G73" s="53" t="inlineStr">
        <is>
          <t>Sistema</t>
        </is>
      </c>
    </row>
    <row r="74" ht="15" customHeight="1" s="27">
      <c r="A74" s="39">
        <f>IF(B74="","",ROW()-2)</f>
        <v/>
      </c>
      <c r="B74" s="50" t="n"/>
      <c r="C74" s="40" t="n"/>
      <c r="D74" s="51" t="n"/>
      <c r="E74" s="51" t="n"/>
      <c r="F74" s="52">
        <f>IF(OR(D74="",E74=""),"",(E74-D74)*1440)</f>
        <v/>
      </c>
      <c r="G74" s="53" t="inlineStr">
        <is>
          <t>Sistema</t>
        </is>
      </c>
    </row>
    <row r="75" ht="15" customHeight="1" s="27">
      <c r="A75" s="39">
        <f>IF(B75="","",ROW()-2)</f>
        <v/>
      </c>
      <c r="B75" s="50" t="n"/>
      <c r="C75" s="40" t="n"/>
      <c r="D75" s="51" t="n"/>
      <c r="E75" s="51" t="n"/>
      <c r="F75" s="52">
        <f>IF(OR(D75="",E75=""),"",(E75-D75)*1440)</f>
        <v/>
      </c>
      <c r="G75" s="53" t="inlineStr">
        <is>
          <t>Sistema</t>
        </is>
      </c>
    </row>
    <row r="76" ht="15" customHeight="1" s="27">
      <c r="A76" s="39">
        <f>IF(B76="","",ROW()-2)</f>
        <v/>
      </c>
      <c r="B76" s="50" t="n"/>
      <c r="C76" s="40" t="n"/>
      <c r="D76" s="51" t="n"/>
      <c r="E76" s="51" t="n"/>
      <c r="F76" s="52">
        <f>IF(OR(D76="",E76=""),"",(E76-D76)*1440)</f>
        <v/>
      </c>
      <c r="G76" s="53" t="inlineStr">
        <is>
          <t>Sistema</t>
        </is>
      </c>
    </row>
    <row r="77" ht="15" customHeight="1" s="27">
      <c r="A77" s="39">
        <f>IF(B77="","",ROW()-2)</f>
        <v/>
      </c>
      <c r="B77" s="50" t="n"/>
      <c r="C77" s="40" t="n"/>
      <c r="D77" s="51" t="n"/>
      <c r="E77" s="51" t="n"/>
      <c r="F77" s="52">
        <f>IF(OR(D77="",E77=""),"",(E77-D77)*1440)</f>
        <v/>
      </c>
      <c r="G77" s="53" t="inlineStr">
        <is>
          <t>Sistema</t>
        </is>
      </c>
    </row>
    <row r="78" ht="15" customHeight="1" s="27">
      <c r="A78" s="39">
        <f>IF(B78="","",ROW()-2)</f>
        <v/>
      </c>
      <c r="B78" s="50" t="n"/>
      <c r="C78" s="40" t="n"/>
      <c r="D78" s="51" t="n"/>
      <c r="E78" s="51" t="n"/>
      <c r="F78" s="52">
        <f>IF(OR(D78="",E78=""),"",(E78-D78)*1440)</f>
        <v/>
      </c>
      <c r="G78" s="53" t="inlineStr">
        <is>
          <t>Sistema</t>
        </is>
      </c>
    </row>
    <row r="79" ht="15" customHeight="1" s="27">
      <c r="A79" s="39">
        <f>IF(B79="","",ROW()-2)</f>
        <v/>
      </c>
      <c r="B79" s="50" t="n"/>
      <c r="C79" s="40" t="n"/>
      <c r="D79" s="51" t="n"/>
      <c r="E79" s="51" t="n"/>
      <c r="F79" s="52">
        <f>IF(OR(D79="",E79=""),"",(E79-D79)*1440)</f>
        <v/>
      </c>
      <c r="G79" s="53" t="inlineStr">
        <is>
          <t>Sistema</t>
        </is>
      </c>
    </row>
    <row r="80" ht="15" customHeight="1" s="27">
      <c r="A80" s="39">
        <f>IF(B80="","",ROW()-2)</f>
        <v/>
      </c>
      <c r="B80" s="50" t="n"/>
      <c r="C80" s="40" t="n"/>
      <c r="D80" s="51" t="n"/>
      <c r="E80" s="51" t="n"/>
      <c r="F80" s="52">
        <f>IF(OR(D80="",E80=""),"",(E80-D80)*1440)</f>
        <v/>
      </c>
      <c r="G80" s="53" t="inlineStr">
        <is>
          <t>Sistema</t>
        </is>
      </c>
    </row>
    <row r="81" ht="15" customHeight="1" s="27">
      <c r="A81" s="39">
        <f>IF(B81="","",ROW()-2)</f>
        <v/>
      </c>
      <c r="B81" s="50" t="n"/>
      <c r="C81" s="40" t="n"/>
      <c r="D81" s="51" t="n"/>
      <c r="E81" s="51" t="n"/>
      <c r="F81" s="52">
        <f>IF(OR(D81="",E81=""),"",(E81-D81)*1440)</f>
        <v/>
      </c>
      <c r="G81" s="53" t="inlineStr">
        <is>
          <t>Sistema</t>
        </is>
      </c>
    </row>
    <row r="82" ht="15" customHeight="1" s="27">
      <c r="A82" s="39">
        <f>IF(B82="","",ROW()-2)</f>
        <v/>
      </c>
      <c r="B82" s="50" t="n"/>
      <c r="C82" s="40" t="n"/>
      <c r="D82" s="51" t="n"/>
      <c r="E82" s="51" t="n"/>
      <c r="F82" s="52">
        <f>IF(OR(D82="",E82=""),"",(E82-D82)*1440)</f>
        <v/>
      </c>
      <c r="G82" s="53" t="inlineStr">
        <is>
          <t>Sistema</t>
        </is>
      </c>
    </row>
    <row r="83" ht="15" customHeight="1" s="27">
      <c r="A83" s="39">
        <f>IF(B83="","",ROW()-2)</f>
        <v/>
      </c>
      <c r="B83" s="50" t="n"/>
      <c r="C83" s="40" t="n"/>
      <c r="D83" s="51" t="n"/>
      <c r="E83" s="51" t="n"/>
      <c r="F83" s="52">
        <f>IF(OR(D83="",E83=""),"",(E83-D83)*1440)</f>
        <v/>
      </c>
      <c r="G83" s="53" t="inlineStr">
        <is>
          <t>Sistema</t>
        </is>
      </c>
    </row>
    <row r="84" ht="15" customHeight="1" s="27">
      <c r="A84" s="39">
        <f>IF(B84="","",ROW()-2)</f>
        <v/>
      </c>
      <c r="B84" s="50" t="n"/>
      <c r="C84" s="40" t="n"/>
      <c r="D84" s="51" t="n"/>
      <c r="E84" s="51" t="n"/>
      <c r="F84" s="52">
        <f>IF(OR(D84="",E84=""),"",(E84-D84)*1440)</f>
        <v/>
      </c>
      <c r="G84" s="53" t="inlineStr">
        <is>
          <t>Sistema</t>
        </is>
      </c>
    </row>
    <row r="85" ht="15" customHeight="1" s="27">
      <c r="A85" s="39">
        <f>IF(B85="","",ROW()-2)</f>
        <v/>
      </c>
      <c r="B85" s="50" t="n"/>
      <c r="C85" s="40" t="n"/>
      <c r="D85" s="51" t="n"/>
      <c r="E85" s="51" t="n"/>
      <c r="F85" s="52">
        <f>IF(OR(D85="",E85=""),"",(E85-D85)*1440)</f>
        <v/>
      </c>
      <c r="G85" s="53" t="inlineStr">
        <is>
          <t>Sistema</t>
        </is>
      </c>
    </row>
    <row r="86" ht="15" customHeight="1" s="27">
      <c r="A86" s="39">
        <f>IF(B86="","",ROW()-2)</f>
        <v/>
      </c>
      <c r="B86" s="50" t="n"/>
      <c r="C86" s="40" t="n"/>
      <c r="D86" s="51" t="n"/>
      <c r="E86" s="51" t="n"/>
      <c r="F86" s="52">
        <f>IF(OR(D86="",E86=""),"",(E86-D86)*1440)</f>
        <v/>
      </c>
      <c r="G86" s="53" t="inlineStr">
        <is>
          <t>Sistema</t>
        </is>
      </c>
    </row>
    <row r="87" ht="15" customHeight="1" s="27">
      <c r="A87" s="39">
        <f>IF(B87="","",ROW()-2)</f>
        <v/>
      </c>
      <c r="B87" s="50" t="n"/>
      <c r="C87" s="40" t="n"/>
      <c r="D87" s="51" t="n"/>
      <c r="E87" s="51" t="n"/>
      <c r="F87" s="52">
        <f>IF(OR(D87="",E87=""),"",(E87-D87)*1440)</f>
        <v/>
      </c>
      <c r="G87" s="53" t="inlineStr">
        <is>
          <t>Sistema</t>
        </is>
      </c>
    </row>
    <row r="88" ht="15" customHeight="1" s="27">
      <c r="A88" s="39">
        <f>IF(B88="","",ROW()-2)</f>
        <v/>
      </c>
      <c r="B88" s="50" t="n"/>
      <c r="C88" s="40" t="n"/>
      <c r="D88" s="51" t="n"/>
      <c r="E88" s="51" t="n"/>
      <c r="F88" s="52">
        <f>IF(OR(D88="",E88=""),"",(E88-D88)*1440)</f>
        <v/>
      </c>
      <c r="G88" s="53" t="inlineStr">
        <is>
          <t>Sistema</t>
        </is>
      </c>
    </row>
    <row r="89" ht="15" customHeight="1" s="27">
      <c r="A89" s="39">
        <f>IF(B89="","",ROW()-2)</f>
        <v/>
      </c>
      <c r="B89" s="50" t="n"/>
      <c r="C89" s="40" t="n"/>
      <c r="D89" s="51" t="n"/>
      <c r="E89" s="51" t="n"/>
      <c r="F89" s="52">
        <f>IF(OR(D89="",E89=""),"",(E89-D89)*1440)</f>
        <v/>
      </c>
      <c r="G89" s="53" t="inlineStr">
        <is>
          <t>Sistema</t>
        </is>
      </c>
    </row>
    <row r="90" ht="15" customHeight="1" s="27">
      <c r="A90" s="39">
        <f>IF(B90="","",ROW()-2)</f>
        <v/>
      </c>
      <c r="B90" s="50" t="n"/>
      <c r="C90" s="40" t="n"/>
      <c r="D90" s="51" t="n"/>
      <c r="E90" s="51" t="n"/>
      <c r="F90" s="52">
        <f>IF(OR(D90="",E90=""),"",(E90-D90)*1440)</f>
        <v/>
      </c>
      <c r="G90" s="53" t="inlineStr">
        <is>
          <t>Sistema</t>
        </is>
      </c>
    </row>
    <row r="91" ht="15" customHeight="1" s="27">
      <c r="A91" s="39">
        <f>IF(B91="","",ROW()-2)</f>
        <v/>
      </c>
      <c r="B91" s="50" t="n"/>
      <c r="C91" s="40" t="n"/>
      <c r="D91" s="51" t="n"/>
      <c r="E91" s="51" t="n"/>
      <c r="F91" s="52">
        <f>IF(OR(D91="",E91=""),"",(E91-D91)*1440)</f>
        <v/>
      </c>
      <c r="G91" s="53" t="inlineStr">
        <is>
          <t>Sistema</t>
        </is>
      </c>
    </row>
    <row r="92" ht="15" customHeight="1" s="27">
      <c r="A92" s="39">
        <f>IF(B92="","",ROW()-2)</f>
        <v/>
      </c>
      <c r="B92" s="50" t="n"/>
      <c r="C92" s="40" t="n"/>
      <c r="D92" s="51" t="n"/>
      <c r="E92" s="51" t="n"/>
      <c r="F92" s="52">
        <f>IF(OR(D92="",E92=""),"",(E92-D92)*1440)</f>
        <v/>
      </c>
      <c r="G92" s="53" t="inlineStr">
        <is>
          <t>Sistema</t>
        </is>
      </c>
    </row>
    <row r="93" ht="15" customHeight="1" s="27">
      <c r="A93" s="39">
        <f>IF(B93="","",ROW()-2)</f>
        <v/>
      </c>
      <c r="B93" s="50" t="n"/>
      <c r="C93" s="40" t="n"/>
      <c r="D93" s="51" t="n"/>
      <c r="E93" s="51" t="n"/>
      <c r="F93" s="52">
        <f>IF(OR(D93="",E93=""),"",(E93-D93)*1440)</f>
        <v/>
      </c>
      <c r="G93" s="53" t="inlineStr">
        <is>
          <t>Sistema</t>
        </is>
      </c>
    </row>
    <row r="94" ht="15" customHeight="1" s="27">
      <c r="A94" s="39">
        <f>IF(B94="","",ROW()-2)</f>
        <v/>
      </c>
      <c r="B94" s="50" t="n"/>
      <c r="C94" s="40" t="n"/>
      <c r="D94" s="51" t="n"/>
      <c r="E94" s="51" t="n"/>
      <c r="F94" s="52">
        <f>IF(OR(D94="",E94=""),"",(E94-D94)*1440)</f>
        <v/>
      </c>
      <c r="G94" s="53" t="inlineStr">
        <is>
          <t>Sistema</t>
        </is>
      </c>
    </row>
    <row r="95" ht="15" customHeight="1" s="27">
      <c r="A95" s="39">
        <f>IF(B95="","",ROW()-2)</f>
        <v/>
      </c>
      <c r="B95" s="50" t="n"/>
      <c r="C95" s="40" t="n"/>
      <c r="D95" s="51" t="n"/>
      <c r="E95" s="51" t="n"/>
      <c r="F95" s="52">
        <f>IF(OR(D95="",E95=""),"",(E95-D95)*1440)</f>
        <v/>
      </c>
      <c r="G95" s="53" t="inlineStr">
        <is>
          <t>Sistema</t>
        </is>
      </c>
    </row>
    <row r="96" ht="15" customHeight="1" s="27">
      <c r="A96" s="39">
        <f>IF(B96="","",ROW()-2)</f>
        <v/>
      </c>
      <c r="B96" s="50" t="n"/>
      <c r="C96" s="40" t="n"/>
      <c r="D96" s="51" t="n"/>
      <c r="E96" s="51" t="n"/>
      <c r="F96" s="52">
        <f>IF(OR(D96="",E96=""),"",(E96-D96)*1440)</f>
        <v/>
      </c>
      <c r="G96" s="53" t="inlineStr">
        <is>
          <t>Sistema</t>
        </is>
      </c>
    </row>
    <row r="97" ht="15" customHeight="1" s="27">
      <c r="A97" s="39">
        <f>IF(B97="","",ROW()-2)</f>
        <v/>
      </c>
      <c r="B97" s="50" t="n"/>
      <c r="C97" s="40" t="n"/>
      <c r="D97" s="51" t="n"/>
      <c r="E97" s="51" t="n"/>
      <c r="F97" s="52">
        <f>IF(OR(D97="",E97=""),"",(E97-D97)*1440)</f>
        <v/>
      </c>
      <c r="G97" s="53" t="inlineStr">
        <is>
          <t>Sistema</t>
        </is>
      </c>
    </row>
    <row r="98" ht="15" customHeight="1" s="27">
      <c r="A98" s="39">
        <f>IF(B98="","",ROW()-2)</f>
        <v/>
      </c>
      <c r="B98" s="50" t="n"/>
      <c r="C98" s="40" t="n"/>
      <c r="D98" s="51" t="n"/>
      <c r="E98" s="51" t="n"/>
      <c r="F98" s="52">
        <f>IF(OR(D98="",E98=""),"",(E98-D98)*1440)</f>
        <v/>
      </c>
      <c r="G98" s="53" t="inlineStr">
        <is>
          <t>Sistema</t>
        </is>
      </c>
    </row>
    <row r="99" ht="15" customHeight="1" s="27">
      <c r="A99" s="39">
        <f>IF(B99="","",ROW()-2)</f>
        <v/>
      </c>
      <c r="B99" s="50" t="n"/>
      <c r="C99" s="40" t="n"/>
      <c r="D99" s="51" t="n"/>
      <c r="E99" s="51" t="n"/>
      <c r="F99" s="52">
        <f>IF(OR(D99="",E99=""),"",(E99-D99)*1440)</f>
        <v/>
      </c>
      <c r="G99" s="53" t="inlineStr">
        <is>
          <t>Sistema</t>
        </is>
      </c>
    </row>
    <row r="100" ht="15" customHeight="1" s="27">
      <c r="A100" s="39">
        <f>IF(B100="","",ROW()-2)</f>
        <v/>
      </c>
      <c r="B100" s="50" t="n"/>
      <c r="C100" s="40" t="n"/>
      <c r="D100" s="51" t="n"/>
      <c r="E100" s="51" t="n"/>
      <c r="F100" s="52">
        <f>IF(OR(D100="",E100=""),"",(E100-D100)*1440)</f>
        <v/>
      </c>
      <c r="G100" s="53" t="inlineStr">
        <is>
          <t>Sistema</t>
        </is>
      </c>
    </row>
    <row r="101" ht="15" customHeight="1" s="27">
      <c r="A101" s="39">
        <f>IF(B101="","",ROW()-2)</f>
        <v/>
      </c>
      <c r="B101" s="50" t="n"/>
      <c r="C101" s="40" t="n"/>
      <c r="D101" s="51" t="n"/>
      <c r="E101" s="51" t="n"/>
      <c r="F101" s="52">
        <f>IF(OR(D101="",E101=""),"",(E101-D101)*1440)</f>
        <v/>
      </c>
      <c r="G101" s="53" t="inlineStr">
        <is>
          <t>Sistema</t>
        </is>
      </c>
    </row>
    <row r="102" ht="15" customHeight="1" s="27">
      <c r="A102" s="39">
        <f>IF(B102="","",ROW()-2)</f>
        <v/>
      </c>
      <c r="B102" s="50" t="n"/>
      <c r="C102" s="40" t="n"/>
      <c r="D102" s="51" t="n"/>
      <c r="E102" s="51" t="n"/>
      <c r="F102" s="52">
        <f>IF(OR(D102="",E102=""),"",(E102-D102)*1440)</f>
        <v/>
      </c>
      <c r="G102" s="53" t="inlineStr">
        <is>
          <t>Sistema</t>
        </is>
      </c>
    </row>
    <row r="103" ht="15" customHeight="1" s="27">
      <c r="A103" s="39">
        <f>IF(B103="","",ROW()-2)</f>
        <v/>
      </c>
      <c r="B103" s="50" t="n"/>
      <c r="C103" s="40" t="n"/>
      <c r="D103" s="51" t="n"/>
      <c r="E103" s="51" t="n"/>
      <c r="F103" s="52">
        <f>IF(OR(D103="",E103=""),"",(E103-D103)*1440)</f>
        <v/>
      </c>
      <c r="G103" s="53" t="inlineStr">
        <is>
          <t>Sistema</t>
        </is>
      </c>
    </row>
    <row r="104" ht="15" customHeight="1" s="27">
      <c r="A104" s="39">
        <f>IF(B104="","",ROW()-2)</f>
        <v/>
      </c>
      <c r="B104" s="50" t="n"/>
      <c r="C104" s="40" t="n"/>
      <c r="D104" s="51" t="n"/>
      <c r="E104" s="51" t="n"/>
      <c r="F104" s="52">
        <f>IF(OR(D104="",E104=""),"",(E104-D104)*1440)</f>
        <v/>
      </c>
      <c r="G104" s="53" t="inlineStr">
        <is>
          <t>Sistema</t>
        </is>
      </c>
    </row>
    <row r="105" ht="15" customHeight="1" s="27">
      <c r="A105" s="39">
        <f>IF(B105="","",ROW()-2)</f>
        <v/>
      </c>
      <c r="B105" s="50" t="n"/>
      <c r="C105" s="40" t="n"/>
      <c r="D105" s="51" t="n"/>
      <c r="E105" s="51" t="n"/>
      <c r="F105" s="52">
        <f>IF(OR(D105="",E105=""),"",(E105-D105)*1440)</f>
        <v/>
      </c>
      <c r="G105" s="53" t="inlineStr">
        <is>
          <t>Sistema</t>
        </is>
      </c>
    </row>
    <row r="106" ht="15" customHeight="1" s="27">
      <c r="A106" s="39">
        <f>IF(B106="","",ROW()-2)</f>
        <v/>
      </c>
      <c r="B106" s="50" t="n"/>
      <c r="C106" s="40" t="n"/>
      <c r="D106" s="51" t="n"/>
      <c r="E106" s="51" t="n"/>
      <c r="F106" s="52">
        <f>IF(OR(D106="",E106=""),"",(E106-D106)*1440)</f>
        <v/>
      </c>
      <c r="G106" s="53" t="inlineStr">
        <is>
          <t>Sistema</t>
        </is>
      </c>
    </row>
    <row r="107" ht="15" customHeight="1" s="27">
      <c r="A107" s="39">
        <f>IF(B107="","",ROW()-2)</f>
        <v/>
      </c>
      <c r="B107" s="50" t="n"/>
      <c r="C107" s="40" t="n"/>
      <c r="D107" s="51" t="n"/>
      <c r="E107" s="51" t="n"/>
      <c r="F107" s="52">
        <f>IF(OR(D107="",E107=""),"",(E107-D107)*1440)</f>
        <v/>
      </c>
      <c r="G107" s="53" t="inlineStr">
        <is>
          <t>Sistema</t>
        </is>
      </c>
    </row>
    <row r="108" ht="15" customHeight="1" s="27">
      <c r="A108" s="39">
        <f>IF(B108="","",ROW()-2)</f>
        <v/>
      </c>
      <c r="B108" s="50" t="n"/>
      <c r="C108" s="40" t="n"/>
      <c r="D108" s="51" t="n"/>
      <c r="E108" s="51" t="n"/>
      <c r="F108" s="52">
        <f>IF(OR(D108="",E108=""),"",(E108-D108)*1440)</f>
        <v/>
      </c>
      <c r="G108" s="53" t="inlineStr">
        <is>
          <t>Sistema</t>
        </is>
      </c>
    </row>
    <row r="109" ht="15" customHeight="1" s="27">
      <c r="A109" s="39">
        <f>IF(B109="","",ROW()-2)</f>
        <v/>
      </c>
      <c r="B109" s="50" t="n"/>
      <c r="C109" s="40" t="n"/>
      <c r="D109" s="51" t="n"/>
      <c r="E109" s="51" t="n"/>
      <c r="F109" s="52">
        <f>IF(OR(D109="",E109=""),"",(E109-D109)*1440)</f>
        <v/>
      </c>
      <c r="G109" s="53" t="inlineStr">
        <is>
          <t>Sistema</t>
        </is>
      </c>
    </row>
    <row r="110" ht="15" customHeight="1" s="27">
      <c r="A110" s="39">
        <f>IF(B110="","",ROW()-2)</f>
        <v/>
      </c>
      <c r="B110" s="50" t="n"/>
      <c r="C110" s="40" t="n"/>
      <c r="D110" s="51" t="n"/>
      <c r="E110" s="51" t="n"/>
      <c r="F110" s="52">
        <f>IF(OR(D110="",E110=""),"",(E110-D110)*1440)</f>
        <v/>
      </c>
      <c r="G110" s="53" t="inlineStr">
        <is>
          <t>Sistema</t>
        </is>
      </c>
    </row>
    <row r="111" ht="15" customHeight="1" s="27">
      <c r="A111" s="39">
        <f>IF(B111="","",ROW()-2)</f>
        <v/>
      </c>
      <c r="B111" s="50" t="n"/>
      <c r="C111" s="40" t="n"/>
      <c r="D111" s="51" t="n"/>
      <c r="E111" s="51" t="n"/>
      <c r="F111" s="52">
        <f>IF(OR(D111="",E111=""),"",(E111-D111)*1440)</f>
        <v/>
      </c>
      <c r="G111" s="53" t="inlineStr">
        <is>
          <t>Sistema</t>
        </is>
      </c>
    </row>
    <row r="112" ht="15" customHeight="1" s="27">
      <c r="A112" s="39">
        <f>IF(B112="","",ROW()-2)</f>
        <v/>
      </c>
      <c r="B112" s="50" t="n"/>
      <c r="C112" s="40" t="n"/>
      <c r="D112" s="51" t="n"/>
      <c r="E112" s="51" t="n"/>
      <c r="F112" s="52">
        <f>IF(OR(D112="",E112=""),"",(E112-D112)*1440)</f>
        <v/>
      </c>
      <c r="G112" s="53" t="inlineStr">
        <is>
          <t>Sistema</t>
        </is>
      </c>
    </row>
    <row r="113" ht="15" customHeight="1" s="27">
      <c r="A113" s="39">
        <f>IF(B113="","",ROW()-2)</f>
        <v/>
      </c>
      <c r="B113" s="50" t="n"/>
      <c r="C113" s="40" t="n"/>
      <c r="D113" s="51" t="n"/>
      <c r="E113" s="51" t="n"/>
      <c r="F113" s="52">
        <f>IF(OR(D113="",E113=""),"",(E113-D113)*1440)</f>
        <v/>
      </c>
      <c r="G113" s="53" t="inlineStr">
        <is>
          <t>Sistema</t>
        </is>
      </c>
    </row>
    <row r="114" ht="15" customHeight="1" s="27">
      <c r="A114" s="39">
        <f>IF(B114="","",ROW()-2)</f>
        <v/>
      </c>
      <c r="B114" s="50" t="n"/>
      <c r="C114" s="40" t="n"/>
      <c r="D114" s="51" t="n"/>
      <c r="E114" s="51" t="n"/>
      <c r="F114" s="52">
        <f>IF(OR(D114="",E114=""),"",(E114-D114)*1440)</f>
        <v/>
      </c>
      <c r="G114" s="53" t="inlineStr">
        <is>
          <t>Sistema</t>
        </is>
      </c>
    </row>
    <row r="115" ht="15" customHeight="1" s="27">
      <c r="A115" s="39">
        <f>IF(B115="","",ROW()-2)</f>
        <v/>
      </c>
      <c r="B115" s="50" t="n"/>
      <c r="C115" s="40" t="n"/>
      <c r="D115" s="51" t="n"/>
      <c r="E115" s="51" t="n"/>
      <c r="F115" s="52">
        <f>IF(OR(D115="",E115=""),"",(E115-D115)*1440)</f>
        <v/>
      </c>
      <c r="G115" s="53" t="inlineStr">
        <is>
          <t>Sistema</t>
        </is>
      </c>
    </row>
    <row r="116" ht="15" customHeight="1" s="27">
      <c r="A116" s="39">
        <f>IF(B116="","",ROW()-2)</f>
        <v/>
      </c>
      <c r="B116" s="50" t="n"/>
      <c r="C116" s="40" t="n"/>
      <c r="D116" s="51" t="n"/>
      <c r="E116" s="51" t="n"/>
      <c r="F116" s="52">
        <f>IF(OR(D116="",E116=""),"",(E116-D116)*1440)</f>
        <v/>
      </c>
      <c r="G116" s="53" t="inlineStr">
        <is>
          <t>Sistema</t>
        </is>
      </c>
    </row>
    <row r="117" ht="15" customHeight="1" s="27">
      <c r="A117" s="39">
        <f>IF(B117="","",ROW()-2)</f>
        <v/>
      </c>
      <c r="B117" s="50" t="n"/>
      <c r="C117" s="40" t="n"/>
      <c r="D117" s="51" t="n"/>
      <c r="E117" s="51" t="n"/>
      <c r="F117" s="52">
        <f>IF(OR(D117="",E117=""),"",(E117-D117)*1440)</f>
        <v/>
      </c>
      <c r="G117" s="53" t="inlineStr">
        <is>
          <t>Sistema</t>
        </is>
      </c>
    </row>
    <row r="118" ht="15" customHeight="1" s="27">
      <c r="A118" s="39">
        <f>IF(B118="","",ROW()-2)</f>
        <v/>
      </c>
      <c r="B118" s="50" t="n"/>
      <c r="C118" s="40" t="n"/>
      <c r="D118" s="51" t="n"/>
      <c r="E118" s="51" t="n"/>
      <c r="F118" s="52">
        <f>IF(OR(D118="",E118=""),"",(E118-D118)*1440)</f>
        <v/>
      </c>
      <c r="G118" s="53" t="inlineStr">
        <is>
          <t>Sistema</t>
        </is>
      </c>
    </row>
    <row r="119" ht="15" customHeight="1" s="27">
      <c r="A119" s="39">
        <f>IF(B119="","",ROW()-2)</f>
        <v/>
      </c>
      <c r="B119" s="50" t="n"/>
      <c r="C119" s="40" t="n"/>
      <c r="D119" s="51" t="n"/>
      <c r="E119" s="51" t="n"/>
      <c r="F119" s="52">
        <f>IF(OR(D119="",E119=""),"",(E119-D119)*1440)</f>
        <v/>
      </c>
      <c r="G119" s="53" t="inlineStr">
        <is>
          <t>Sistema</t>
        </is>
      </c>
    </row>
    <row r="120" ht="15" customHeight="1" s="27">
      <c r="A120" s="39">
        <f>IF(B120="","",ROW()-2)</f>
        <v/>
      </c>
      <c r="B120" s="50" t="n"/>
      <c r="C120" s="40" t="n"/>
      <c r="D120" s="51" t="n"/>
      <c r="E120" s="51" t="n"/>
      <c r="F120" s="52">
        <f>IF(OR(D120="",E120=""),"",(E120-D120)*1440)</f>
        <v/>
      </c>
      <c r="G120" s="53" t="inlineStr">
        <is>
          <t>Sistema</t>
        </is>
      </c>
    </row>
    <row r="121" ht="15" customHeight="1" s="27">
      <c r="A121" s="39">
        <f>IF(B121="","",ROW()-2)</f>
        <v/>
      </c>
      <c r="B121" s="50" t="n"/>
      <c r="C121" s="40" t="n"/>
      <c r="D121" s="51" t="n"/>
      <c r="E121" s="51" t="n"/>
      <c r="F121" s="52">
        <f>IF(OR(D121="",E121=""),"",(E121-D121)*1440)</f>
        <v/>
      </c>
      <c r="G121" s="53" t="inlineStr">
        <is>
          <t>Sistema</t>
        </is>
      </c>
    </row>
    <row r="122" ht="15" customHeight="1" s="27">
      <c r="A122" s="39">
        <f>IF(B122="","",ROW()-2)</f>
        <v/>
      </c>
      <c r="B122" s="50" t="n"/>
      <c r="C122" s="40" t="n"/>
      <c r="D122" s="51" t="n"/>
      <c r="E122" s="51" t="n"/>
      <c r="F122" s="52">
        <f>IF(OR(D122="",E122=""),"",(E122-D122)*1440)</f>
        <v/>
      </c>
      <c r="G122" s="53" t="inlineStr">
        <is>
          <t>Sistema</t>
        </is>
      </c>
    </row>
    <row r="123" ht="15" customHeight="1" s="27">
      <c r="A123" s="39">
        <f>IF(B123="","",ROW()-2)</f>
        <v/>
      </c>
      <c r="B123" s="50" t="n"/>
      <c r="C123" s="40" t="n"/>
      <c r="D123" s="51" t="n"/>
      <c r="E123" s="51" t="n"/>
      <c r="F123" s="52">
        <f>IF(OR(D123="",E123=""),"",(E123-D123)*1440)</f>
        <v/>
      </c>
      <c r="G123" s="53" t="inlineStr">
        <is>
          <t>Sistema</t>
        </is>
      </c>
    </row>
    <row r="124" ht="15" customHeight="1" s="27">
      <c r="A124" s="39">
        <f>IF(B124="","",ROW()-2)</f>
        <v/>
      </c>
      <c r="B124" s="50" t="n"/>
      <c r="C124" s="40" t="n"/>
      <c r="D124" s="51" t="n"/>
      <c r="E124" s="51" t="n"/>
      <c r="F124" s="52">
        <f>IF(OR(D124="",E124=""),"",(E124-D124)*1440)</f>
        <v/>
      </c>
      <c r="G124" s="53" t="inlineStr">
        <is>
          <t>Sistema</t>
        </is>
      </c>
    </row>
    <row r="125" ht="15" customHeight="1" s="27">
      <c r="A125" s="39">
        <f>IF(B125="","",ROW()-2)</f>
        <v/>
      </c>
      <c r="B125" s="50" t="n"/>
      <c r="C125" s="40" t="n"/>
      <c r="D125" s="51" t="n"/>
      <c r="E125" s="51" t="n"/>
      <c r="F125" s="52">
        <f>IF(OR(D125="",E125=""),"",(E125-D125)*1440)</f>
        <v/>
      </c>
      <c r="G125" s="53" t="inlineStr">
        <is>
          <t>Sistema</t>
        </is>
      </c>
    </row>
    <row r="126" ht="15" customHeight="1" s="27">
      <c r="A126" s="39">
        <f>IF(B126="","",ROW()-2)</f>
        <v/>
      </c>
      <c r="B126" s="50" t="n"/>
      <c r="C126" s="40" t="n"/>
      <c r="D126" s="51" t="n"/>
      <c r="E126" s="51" t="n"/>
      <c r="F126" s="52">
        <f>IF(OR(D126="",E126=""),"",(E126-D126)*1440)</f>
        <v/>
      </c>
      <c r="G126" s="53" t="inlineStr">
        <is>
          <t>Sistema</t>
        </is>
      </c>
    </row>
    <row r="127" ht="15" customHeight="1" s="27">
      <c r="A127" s="39">
        <f>IF(B127="","",ROW()-2)</f>
        <v/>
      </c>
      <c r="B127" s="50" t="n"/>
      <c r="C127" s="40" t="n"/>
      <c r="D127" s="51" t="n"/>
      <c r="E127" s="51" t="n"/>
      <c r="F127" s="52">
        <f>IF(OR(D127="",E127=""),"",(E127-D127)*1440)</f>
        <v/>
      </c>
      <c r="G127" s="53" t="inlineStr">
        <is>
          <t>Sistema</t>
        </is>
      </c>
    </row>
    <row r="128" ht="15" customHeight="1" s="27">
      <c r="A128" s="39">
        <f>IF(B128="","",ROW()-2)</f>
        <v/>
      </c>
      <c r="B128" s="50" t="n"/>
      <c r="C128" s="40" t="n"/>
      <c r="D128" s="51" t="n"/>
      <c r="E128" s="51" t="n"/>
      <c r="F128" s="52">
        <f>IF(OR(D128="",E128=""),"",(E128-D128)*1440)</f>
        <v/>
      </c>
      <c r="G128" s="53" t="inlineStr">
        <is>
          <t>Sistema</t>
        </is>
      </c>
    </row>
    <row r="129" ht="15" customHeight="1" s="27">
      <c r="A129" s="39">
        <f>IF(B129="","",ROW()-2)</f>
        <v/>
      </c>
      <c r="B129" s="50" t="n"/>
      <c r="C129" s="40" t="n"/>
      <c r="D129" s="51" t="n"/>
      <c r="E129" s="51" t="n"/>
      <c r="F129" s="52">
        <f>IF(OR(D129="",E129=""),"",(E129-D129)*1440)</f>
        <v/>
      </c>
      <c r="G129" s="53" t="inlineStr">
        <is>
          <t>Sistema</t>
        </is>
      </c>
    </row>
    <row r="130" ht="15" customHeight="1" s="27">
      <c r="A130" s="39">
        <f>IF(B130="","",ROW()-2)</f>
        <v/>
      </c>
      <c r="B130" s="50" t="n"/>
      <c r="C130" s="40" t="n"/>
      <c r="D130" s="51" t="n"/>
      <c r="E130" s="51" t="n"/>
      <c r="F130" s="52">
        <f>IF(OR(D130="",E130=""),"",(E130-D130)*1440)</f>
        <v/>
      </c>
      <c r="G130" s="53" t="inlineStr">
        <is>
          <t>Sistema</t>
        </is>
      </c>
    </row>
    <row r="131" ht="15" customHeight="1" s="27">
      <c r="A131" s="39">
        <f>IF(B131="","",ROW()-2)</f>
        <v/>
      </c>
      <c r="B131" s="50" t="n"/>
      <c r="C131" s="40" t="n"/>
      <c r="D131" s="51" t="n"/>
      <c r="E131" s="51" t="n"/>
      <c r="F131" s="52">
        <f>IF(OR(D131="",E131=""),"",(E131-D131)*1440)</f>
        <v/>
      </c>
      <c r="G131" s="53" t="inlineStr">
        <is>
          <t>Sistema</t>
        </is>
      </c>
    </row>
    <row r="132" ht="15" customHeight="1" s="27">
      <c r="A132" s="39">
        <f>IF(B132="","",ROW()-2)</f>
        <v/>
      </c>
      <c r="B132" s="50" t="n"/>
      <c r="C132" s="40" t="n"/>
      <c r="D132" s="51" t="n"/>
      <c r="E132" s="51" t="n"/>
      <c r="F132" s="52">
        <f>IF(OR(D132="",E132=""),"",(E132-D132)*1440)</f>
        <v/>
      </c>
      <c r="G132" s="53" t="inlineStr">
        <is>
          <t>Sistema</t>
        </is>
      </c>
    </row>
    <row r="133" ht="15" customHeight="1" s="27">
      <c r="A133" s="39">
        <f>IF(B133="","",ROW()-2)</f>
        <v/>
      </c>
      <c r="B133" s="50" t="n"/>
      <c r="C133" s="40" t="n"/>
      <c r="D133" s="51" t="n"/>
      <c r="E133" s="51" t="n"/>
      <c r="F133" s="52">
        <f>IF(OR(D133="",E133=""),"",(E133-D133)*1440)</f>
        <v/>
      </c>
      <c r="G133" s="53" t="inlineStr">
        <is>
          <t>Sistema</t>
        </is>
      </c>
    </row>
    <row r="134" ht="15" customHeight="1" s="27">
      <c r="A134" s="39">
        <f>IF(B134="","",ROW()-2)</f>
        <v/>
      </c>
      <c r="B134" s="50" t="n"/>
      <c r="C134" s="40" t="n"/>
      <c r="D134" s="51" t="n"/>
      <c r="E134" s="51" t="n"/>
      <c r="F134" s="52">
        <f>IF(OR(D134="",E134=""),"",(E134-D134)*1440)</f>
        <v/>
      </c>
      <c r="G134" s="53" t="inlineStr">
        <is>
          <t>Sistema</t>
        </is>
      </c>
    </row>
    <row r="135" ht="15" customHeight="1" s="27">
      <c r="A135" s="39">
        <f>IF(B135="","",ROW()-2)</f>
        <v/>
      </c>
      <c r="B135" s="50" t="n"/>
      <c r="C135" s="40" t="n"/>
      <c r="D135" s="51" t="n"/>
      <c r="E135" s="51" t="n"/>
      <c r="F135" s="52">
        <f>IF(OR(D135="",E135=""),"",(E135-D135)*1440)</f>
        <v/>
      </c>
      <c r="G135" s="53" t="inlineStr">
        <is>
          <t>Sistema</t>
        </is>
      </c>
    </row>
    <row r="136" ht="15" customHeight="1" s="27">
      <c r="A136" s="39">
        <f>IF(B136="","",ROW()-2)</f>
        <v/>
      </c>
      <c r="B136" s="50" t="n"/>
      <c r="C136" s="40" t="n"/>
      <c r="D136" s="51" t="n"/>
      <c r="E136" s="51" t="n"/>
      <c r="F136" s="52">
        <f>IF(OR(D136="",E136=""),"",(E136-D136)*1440)</f>
        <v/>
      </c>
      <c r="G136" s="53" t="inlineStr">
        <is>
          <t>Sistema</t>
        </is>
      </c>
    </row>
    <row r="137" ht="15" customHeight="1" s="27">
      <c r="A137" s="39">
        <f>IF(B137="","",ROW()-2)</f>
        <v/>
      </c>
      <c r="B137" s="50" t="n"/>
      <c r="C137" s="40" t="n"/>
      <c r="D137" s="51" t="n"/>
      <c r="E137" s="51" t="n"/>
      <c r="F137" s="52">
        <f>IF(OR(D137="",E137=""),"",(E137-D137)*1440)</f>
        <v/>
      </c>
      <c r="G137" s="53" t="inlineStr">
        <is>
          <t>Sistema</t>
        </is>
      </c>
    </row>
    <row r="138" ht="15" customHeight="1" s="27">
      <c r="A138" s="39">
        <f>IF(B138="","",ROW()-2)</f>
        <v/>
      </c>
      <c r="B138" s="50" t="n"/>
      <c r="C138" s="40" t="n"/>
      <c r="D138" s="51" t="n"/>
      <c r="E138" s="51" t="n"/>
      <c r="F138" s="52">
        <f>IF(OR(D138="",E138=""),"",(E138-D138)*1440)</f>
        <v/>
      </c>
      <c r="G138" s="53" t="inlineStr">
        <is>
          <t>Sistema</t>
        </is>
      </c>
    </row>
    <row r="139" ht="15" customHeight="1" s="27">
      <c r="A139" s="39">
        <f>IF(B139="","",ROW()-2)</f>
        <v/>
      </c>
      <c r="B139" s="50" t="n"/>
      <c r="C139" s="40" t="n"/>
      <c r="D139" s="51" t="n"/>
      <c r="E139" s="51" t="n"/>
      <c r="F139" s="52">
        <f>IF(OR(D139="",E139=""),"",(E139-D139)*1440)</f>
        <v/>
      </c>
      <c r="G139" s="53" t="inlineStr">
        <is>
          <t>Sistema</t>
        </is>
      </c>
    </row>
    <row r="140" ht="15" customHeight="1" s="27">
      <c r="A140" s="39">
        <f>IF(B140="","",ROW()-2)</f>
        <v/>
      </c>
      <c r="B140" s="50" t="n"/>
      <c r="C140" s="40" t="n"/>
      <c r="D140" s="51" t="n"/>
      <c r="E140" s="51" t="n"/>
      <c r="F140" s="52">
        <f>IF(OR(D140="",E140=""),"",(E140-D140)*1440)</f>
        <v/>
      </c>
      <c r="G140" s="53" t="inlineStr">
        <is>
          <t>Sistema</t>
        </is>
      </c>
    </row>
    <row r="141" ht="15" customHeight="1" s="27">
      <c r="A141" s="39">
        <f>IF(B141="","",ROW()-2)</f>
        <v/>
      </c>
      <c r="B141" s="50" t="n"/>
      <c r="C141" s="40" t="n"/>
      <c r="D141" s="51" t="n"/>
      <c r="E141" s="51" t="n"/>
      <c r="F141" s="52">
        <f>IF(OR(D141="",E141=""),"",(E141-D141)*1440)</f>
        <v/>
      </c>
      <c r="G141" s="53" t="inlineStr">
        <is>
          <t>Sistema</t>
        </is>
      </c>
    </row>
    <row r="142" ht="15" customHeight="1" s="27">
      <c r="A142" s="39">
        <f>IF(B142="","",ROW()-2)</f>
        <v/>
      </c>
      <c r="B142" s="50" t="n"/>
      <c r="C142" s="40" t="n"/>
      <c r="D142" s="51" t="n"/>
      <c r="E142" s="51" t="n"/>
      <c r="F142" s="52">
        <f>IF(OR(D142="",E142=""),"",(E142-D142)*1440)</f>
        <v/>
      </c>
      <c r="G142" s="53" t="inlineStr">
        <is>
          <t>Sistema</t>
        </is>
      </c>
    </row>
    <row r="143" ht="15" customHeight="1" s="27">
      <c r="A143" s="39">
        <f>IF(B143="","",ROW()-2)</f>
        <v/>
      </c>
      <c r="B143" s="50" t="n"/>
      <c r="C143" s="40" t="n"/>
      <c r="D143" s="51" t="n"/>
      <c r="E143" s="51" t="n"/>
      <c r="F143" s="52">
        <f>IF(OR(D143="",E143=""),"",(E143-D143)*1440)</f>
        <v/>
      </c>
      <c r="G143" s="53" t="inlineStr">
        <is>
          <t>Sistema</t>
        </is>
      </c>
    </row>
    <row r="144" ht="15" customHeight="1" s="27">
      <c r="A144" s="39">
        <f>IF(B144="","",ROW()-2)</f>
        <v/>
      </c>
      <c r="B144" s="50" t="n"/>
      <c r="C144" s="40" t="n"/>
      <c r="D144" s="51" t="n"/>
      <c r="E144" s="51" t="n"/>
      <c r="F144" s="52">
        <f>IF(OR(D144="",E144=""),"",(E144-D144)*1440)</f>
        <v/>
      </c>
      <c r="G144" s="53" t="inlineStr">
        <is>
          <t>Sistema</t>
        </is>
      </c>
    </row>
    <row r="145" ht="15" customHeight="1" s="27">
      <c r="A145" s="39">
        <f>IF(B145="","",ROW()-2)</f>
        <v/>
      </c>
      <c r="B145" s="50" t="n"/>
      <c r="C145" s="40" t="n"/>
      <c r="D145" s="51" t="n"/>
      <c r="E145" s="51" t="n"/>
      <c r="F145" s="52">
        <f>IF(OR(D145="",E145=""),"",(E145-D145)*1440)</f>
        <v/>
      </c>
      <c r="G145" s="53" t="inlineStr">
        <is>
          <t>Sistema</t>
        </is>
      </c>
    </row>
    <row r="146" ht="15" customHeight="1" s="27">
      <c r="A146" s="39">
        <f>IF(B146="","",ROW()-2)</f>
        <v/>
      </c>
      <c r="B146" s="50" t="n"/>
      <c r="C146" s="40" t="n"/>
      <c r="D146" s="51" t="n"/>
      <c r="E146" s="51" t="n"/>
      <c r="F146" s="52">
        <f>IF(OR(D146="",E146=""),"",(E146-D146)*1440)</f>
        <v/>
      </c>
      <c r="G146" s="53" t="inlineStr">
        <is>
          <t>Sistema</t>
        </is>
      </c>
    </row>
    <row r="147" ht="15" customHeight="1" s="27">
      <c r="A147" s="39">
        <f>IF(B147="","",ROW()-2)</f>
        <v/>
      </c>
      <c r="B147" s="50" t="n"/>
      <c r="C147" s="40" t="n"/>
      <c r="D147" s="51" t="n"/>
      <c r="E147" s="51" t="n"/>
      <c r="F147" s="52">
        <f>IF(OR(D147="",E147=""),"",(E147-D147)*1440)</f>
        <v/>
      </c>
      <c r="G147" s="53" t="inlineStr">
        <is>
          <t>Sistema</t>
        </is>
      </c>
    </row>
    <row r="148" ht="15" customHeight="1" s="27">
      <c r="A148" s="39">
        <f>IF(B148="","",ROW()-2)</f>
        <v/>
      </c>
      <c r="B148" s="50" t="n"/>
      <c r="C148" s="40" t="n"/>
      <c r="D148" s="51" t="n"/>
      <c r="E148" s="51" t="n"/>
      <c r="F148" s="52">
        <f>IF(OR(D148="",E148=""),"",(E148-D148)*1440)</f>
        <v/>
      </c>
      <c r="G148" s="53" t="inlineStr">
        <is>
          <t>Sistema</t>
        </is>
      </c>
    </row>
    <row r="149" ht="15" customHeight="1" s="27">
      <c r="A149" s="39">
        <f>IF(B149="","",ROW()-2)</f>
        <v/>
      </c>
      <c r="B149" s="50" t="n"/>
      <c r="C149" s="40" t="n"/>
      <c r="D149" s="51" t="n"/>
      <c r="E149" s="51" t="n"/>
      <c r="F149" s="52">
        <f>IF(OR(D149="",E149=""),"",(E149-D149)*1440)</f>
        <v/>
      </c>
      <c r="G149" s="53" t="inlineStr">
        <is>
          <t>Sistema</t>
        </is>
      </c>
    </row>
    <row r="150" ht="15" customHeight="1" s="27">
      <c r="A150" s="39">
        <f>IF(B150="","",ROW()-2)</f>
        <v/>
      </c>
      <c r="B150" s="50" t="n"/>
      <c r="C150" s="40" t="n"/>
      <c r="D150" s="51" t="n"/>
      <c r="E150" s="51" t="n"/>
      <c r="F150" s="52">
        <f>IF(OR(D150="",E150=""),"",(E150-D150)*1440)</f>
        <v/>
      </c>
      <c r="G150" s="53" t="inlineStr">
        <is>
          <t>Sistema</t>
        </is>
      </c>
    </row>
    <row r="151" ht="15" customHeight="1" s="27">
      <c r="A151" s="39">
        <f>IF(B151="","",ROW()-2)</f>
        <v/>
      </c>
      <c r="B151" s="50" t="n"/>
      <c r="C151" s="40" t="n"/>
      <c r="D151" s="51" t="n"/>
      <c r="E151" s="51" t="n"/>
      <c r="F151" s="52">
        <f>IF(OR(D151="",E151=""),"",(E151-D151)*1440)</f>
        <v/>
      </c>
      <c r="G151" s="53" t="inlineStr">
        <is>
          <t>Sistema</t>
        </is>
      </c>
    </row>
    <row r="152" ht="15" customHeight="1" s="27">
      <c r="A152" s="39">
        <f>IF(B152="","",ROW()-2)</f>
        <v/>
      </c>
      <c r="B152" s="50" t="n"/>
      <c r="C152" s="40" t="n"/>
      <c r="D152" s="51" t="n"/>
      <c r="E152" s="51" t="n"/>
      <c r="F152" s="52">
        <f>IF(OR(D152="",E152=""),"",(E152-D152)*1440)</f>
        <v/>
      </c>
      <c r="G152" s="53" t="inlineStr">
        <is>
          <t>Sistema</t>
        </is>
      </c>
    </row>
    <row r="153" ht="15" customHeight="1" s="27">
      <c r="A153" s="39">
        <f>IF(B153="","",ROW()-2)</f>
        <v/>
      </c>
      <c r="B153" s="50" t="n"/>
      <c r="C153" s="40" t="n"/>
      <c r="D153" s="51" t="n"/>
      <c r="E153" s="51" t="n"/>
      <c r="F153" s="52">
        <f>IF(OR(D153="",E153=""),"",(E153-D153)*1440)</f>
        <v/>
      </c>
      <c r="G153" s="53" t="inlineStr">
        <is>
          <t>Sistema</t>
        </is>
      </c>
    </row>
    <row r="154" ht="15" customHeight="1" s="27">
      <c r="A154" s="39">
        <f>IF(B154="","",ROW()-2)</f>
        <v/>
      </c>
      <c r="B154" s="50" t="n"/>
      <c r="C154" s="40" t="n"/>
      <c r="D154" s="51" t="n"/>
      <c r="E154" s="51" t="n"/>
      <c r="F154" s="52">
        <f>IF(OR(D154="",E154=""),"",(E154-D154)*1440)</f>
        <v/>
      </c>
      <c r="G154" s="53" t="inlineStr">
        <is>
          <t>Sistema</t>
        </is>
      </c>
    </row>
    <row r="155" ht="15" customHeight="1" s="27">
      <c r="A155" s="39">
        <f>IF(B155="","",ROW()-2)</f>
        <v/>
      </c>
      <c r="B155" s="50" t="n"/>
      <c r="C155" s="40" t="n"/>
      <c r="D155" s="51" t="n"/>
      <c r="E155" s="51" t="n"/>
      <c r="F155" s="52">
        <f>IF(OR(D155="",E155=""),"",(E155-D155)*1440)</f>
        <v/>
      </c>
      <c r="G155" s="53" t="inlineStr">
        <is>
          <t>Sistema</t>
        </is>
      </c>
    </row>
    <row r="156" ht="15" customHeight="1" s="27">
      <c r="A156" s="39">
        <f>IF(B156="","",ROW()-2)</f>
        <v/>
      </c>
      <c r="B156" s="50" t="n"/>
      <c r="C156" s="40" t="n"/>
      <c r="D156" s="51" t="n"/>
      <c r="E156" s="51" t="n"/>
      <c r="F156" s="52">
        <f>IF(OR(D156="",E156=""),"",(E156-D156)*1440)</f>
        <v/>
      </c>
      <c r="G156" s="53" t="inlineStr">
        <is>
          <t>Sistema</t>
        </is>
      </c>
    </row>
    <row r="157" ht="15" customHeight="1" s="27">
      <c r="A157" s="39">
        <f>IF(B157="","",ROW()-2)</f>
        <v/>
      </c>
      <c r="B157" s="50" t="n"/>
      <c r="C157" s="40" t="n"/>
      <c r="D157" s="51" t="n"/>
      <c r="E157" s="51" t="n"/>
      <c r="F157" s="52">
        <f>IF(OR(D157="",E157=""),"",(E157-D157)*1440)</f>
        <v/>
      </c>
      <c r="G157" s="53" t="inlineStr">
        <is>
          <t>Sistema</t>
        </is>
      </c>
    </row>
    <row r="158" ht="15" customHeight="1" s="27">
      <c r="A158" s="39">
        <f>IF(B158="","",ROW()-2)</f>
        <v/>
      </c>
      <c r="B158" s="50" t="n"/>
      <c r="C158" s="40" t="n"/>
      <c r="D158" s="51" t="n"/>
      <c r="E158" s="51" t="n"/>
      <c r="F158" s="52">
        <f>IF(OR(D158="",E158=""),"",(E158-D158)*1440)</f>
        <v/>
      </c>
      <c r="G158" s="53" t="inlineStr">
        <is>
          <t>Sistema</t>
        </is>
      </c>
    </row>
    <row r="159" ht="15" customHeight="1" s="27">
      <c r="A159" s="39">
        <f>IF(B159="","",ROW()-2)</f>
        <v/>
      </c>
      <c r="B159" s="50" t="n"/>
      <c r="C159" s="40" t="n"/>
      <c r="D159" s="51" t="n"/>
      <c r="E159" s="51" t="n"/>
      <c r="F159" s="52">
        <f>IF(OR(D159="",E159=""),"",(E159-D159)*1440)</f>
        <v/>
      </c>
      <c r="G159" s="53" t="inlineStr">
        <is>
          <t>Sistema</t>
        </is>
      </c>
    </row>
    <row r="160" ht="15" customHeight="1" s="27">
      <c r="A160" s="39">
        <f>IF(B160="","",ROW()-2)</f>
        <v/>
      </c>
      <c r="B160" s="50" t="n"/>
      <c r="C160" s="40" t="n"/>
      <c r="D160" s="51" t="n"/>
      <c r="E160" s="51" t="n"/>
      <c r="F160" s="52">
        <f>IF(OR(D160="",E160=""),"",(E160-D160)*1440)</f>
        <v/>
      </c>
      <c r="G160" s="53" t="inlineStr">
        <is>
          <t>Sistema</t>
        </is>
      </c>
    </row>
    <row r="161" ht="15" customHeight="1" s="27">
      <c r="A161" s="39">
        <f>IF(B161="","",ROW()-2)</f>
        <v/>
      </c>
      <c r="B161" s="50" t="n"/>
      <c r="C161" s="40" t="n"/>
      <c r="D161" s="51" t="n"/>
      <c r="E161" s="51" t="n"/>
      <c r="F161" s="52">
        <f>IF(OR(D161="",E161=""),"",(E161-D161)*1440)</f>
        <v/>
      </c>
      <c r="G161" s="53" t="inlineStr">
        <is>
          <t>Sistema</t>
        </is>
      </c>
    </row>
    <row r="162" ht="15" customHeight="1" s="27">
      <c r="A162" s="39">
        <f>IF(B162="","",ROW()-2)</f>
        <v/>
      </c>
      <c r="B162" s="50" t="n"/>
      <c r="C162" s="40" t="n"/>
      <c r="D162" s="51" t="n"/>
      <c r="E162" s="51" t="n"/>
      <c r="F162" s="52">
        <f>IF(OR(D162="",E162=""),"",(E162-D162)*1440)</f>
        <v/>
      </c>
      <c r="G162" s="53" t="inlineStr">
        <is>
          <t>Sistema</t>
        </is>
      </c>
    </row>
    <row r="163" ht="15" customHeight="1" s="27">
      <c r="A163" s="39">
        <f>IF(B163="","",ROW()-2)</f>
        <v/>
      </c>
      <c r="B163" s="50" t="n"/>
      <c r="C163" s="40" t="n"/>
      <c r="D163" s="51" t="n"/>
      <c r="E163" s="51" t="n"/>
      <c r="F163" s="52">
        <f>IF(OR(D163="",E163=""),"",(E163-D163)*1440)</f>
        <v/>
      </c>
      <c r="G163" s="53" t="inlineStr">
        <is>
          <t>Sistema</t>
        </is>
      </c>
    </row>
    <row r="164" ht="15" customHeight="1" s="27">
      <c r="A164" s="39">
        <f>IF(B164="","",ROW()-2)</f>
        <v/>
      </c>
      <c r="B164" s="50" t="n"/>
      <c r="C164" s="40" t="n"/>
      <c r="D164" s="51" t="n"/>
      <c r="E164" s="51" t="n"/>
      <c r="F164" s="52">
        <f>IF(OR(D164="",E164=""),"",(E164-D164)*1440)</f>
        <v/>
      </c>
      <c r="G164" s="53" t="inlineStr">
        <is>
          <t>Sistema</t>
        </is>
      </c>
    </row>
    <row r="165" ht="15" customHeight="1" s="27">
      <c r="A165" s="39">
        <f>IF(B165="","",ROW()-2)</f>
        <v/>
      </c>
      <c r="B165" s="50" t="n"/>
      <c r="C165" s="40" t="n"/>
      <c r="D165" s="51" t="n"/>
      <c r="E165" s="51" t="n"/>
      <c r="F165" s="52">
        <f>IF(OR(D165="",E165=""),"",(E165-D165)*1440)</f>
        <v/>
      </c>
      <c r="G165" s="53" t="inlineStr">
        <is>
          <t>Sistema</t>
        </is>
      </c>
    </row>
    <row r="166" ht="15" customHeight="1" s="27">
      <c r="A166" s="39">
        <f>IF(B166="","",ROW()-2)</f>
        <v/>
      </c>
      <c r="B166" s="50" t="n"/>
      <c r="C166" s="40" t="n"/>
      <c r="D166" s="51" t="n"/>
      <c r="E166" s="51" t="n"/>
      <c r="F166" s="52">
        <f>IF(OR(D166="",E166=""),"",(E166-D166)*1440)</f>
        <v/>
      </c>
      <c r="G166" s="53" t="inlineStr">
        <is>
          <t>Sistema</t>
        </is>
      </c>
    </row>
    <row r="167" ht="15" customHeight="1" s="27">
      <c r="A167" s="39">
        <f>IF(B167="","",ROW()-2)</f>
        <v/>
      </c>
      <c r="B167" s="50" t="n"/>
      <c r="C167" s="40" t="n"/>
      <c r="D167" s="51" t="n"/>
      <c r="E167" s="51" t="n"/>
      <c r="F167" s="52">
        <f>IF(OR(D167="",E167=""),"",(E167-D167)*1440)</f>
        <v/>
      </c>
      <c r="G167" s="53" t="inlineStr">
        <is>
          <t>Sistema</t>
        </is>
      </c>
    </row>
    <row r="168" ht="15" customHeight="1" s="27">
      <c r="A168" s="39">
        <f>IF(B168="","",ROW()-2)</f>
        <v/>
      </c>
      <c r="B168" s="50" t="n"/>
      <c r="C168" s="40" t="n"/>
      <c r="D168" s="51" t="n"/>
      <c r="E168" s="51" t="n"/>
      <c r="F168" s="52">
        <f>IF(OR(D168="",E168=""),"",(E168-D168)*1440)</f>
        <v/>
      </c>
      <c r="G168" s="53" t="inlineStr">
        <is>
          <t>Sistema</t>
        </is>
      </c>
    </row>
    <row r="169" ht="15" customHeight="1" s="27">
      <c r="A169" s="39">
        <f>IF(B169="","",ROW()-2)</f>
        <v/>
      </c>
      <c r="B169" s="50" t="n"/>
      <c r="C169" s="40" t="n"/>
      <c r="D169" s="51" t="n"/>
      <c r="E169" s="51" t="n"/>
      <c r="F169" s="52">
        <f>IF(OR(D169="",E169=""),"",(E169-D169)*1440)</f>
        <v/>
      </c>
      <c r="G169" s="53" t="inlineStr">
        <is>
          <t>Sistema</t>
        </is>
      </c>
    </row>
    <row r="170" ht="15" customHeight="1" s="27">
      <c r="A170" s="39">
        <f>IF(B170="","",ROW()-2)</f>
        <v/>
      </c>
      <c r="B170" s="50" t="n"/>
      <c r="C170" s="40" t="n"/>
      <c r="D170" s="51" t="n"/>
      <c r="E170" s="51" t="n"/>
      <c r="F170" s="52">
        <f>IF(OR(D170="",E170=""),"",(E170-D170)*1440)</f>
        <v/>
      </c>
      <c r="G170" s="53" t="inlineStr">
        <is>
          <t>Sistema</t>
        </is>
      </c>
    </row>
    <row r="171" ht="15" customHeight="1" s="27">
      <c r="A171" s="39">
        <f>IF(B171="","",ROW()-2)</f>
        <v/>
      </c>
      <c r="B171" s="50" t="n"/>
      <c r="C171" s="40" t="n"/>
      <c r="D171" s="51" t="n"/>
      <c r="E171" s="51" t="n"/>
      <c r="F171" s="52">
        <f>IF(OR(D171="",E171=""),"",(E171-D171)*1440)</f>
        <v/>
      </c>
      <c r="G171" s="53" t="inlineStr">
        <is>
          <t>Sistema</t>
        </is>
      </c>
    </row>
    <row r="172" ht="15" customHeight="1" s="27">
      <c r="A172" s="39">
        <f>IF(B172="","",ROW()-2)</f>
        <v/>
      </c>
      <c r="B172" s="50" t="n"/>
      <c r="C172" s="40" t="n"/>
      <c r="D172" s="51" t="n"/>
      <c r="E172" s="51" t="n"/>
      <c r="F172" s="52">
        <f>IF(OR(D172="",E172=""),"",(E172-D172)*1440)</f>
        <v/>
      </c>
      <c r="G172" s="53" t="inlineStr">
        <is>
          <t>Sistema</t>
        </is>
      </c>
    </row>
    <row r="173" ht="15" customHeight="1" s="27">
      <c r="A173" s="39">
        <f>IF(B173="","",ROW()-2)</f>
        <v/>
      </c>
      <c r="B173" s="50" t="n"/>
      <c r="C173" s="40" t="n"/>
      <c r="D173" s="51" t="n"/>
      <c r="E173" s="51" t="n"/>
      <c r="F173" s="52">
        <f>IF(OR(D173="",E173=""),"",(E173-D173)*1440)</f>
        <v/>
      </c>
      <c r="G173" s="53" t="inlineStr">
        <is>
          <t>Sistema</t>
        </is>
      </c>
    </row>
    <row r="174" ht="15" customHeight="1" s="27">
      <c r="A174" s="39">
        <f>IF(B174="","",ROW()-2)</f>
        <v/>
      </c>
      <c r="B174" s="50" t="n"/>
      <c r="C174" s="40" t="n"/>
      <c r="D174" s="51" t="n"/>
      <c r="E174" s="51" t="n"/>
      <c r="F174" s="52">
        <f>IF(OR(D174="",E174=""),"",(E174-D174)*1440)</f>
        <v/>
      </c>
      <c r="G174" s="53" t="inlineStr">
        <is>
          <t>Sistema</t>
        </is>
      </c>
    </row>
    <row r="175" ht="15" customHeight="1" s="27">
      <c r="A175" s="39">
        <f>IF(B175="","",ROW()-2)</f>
        <v/>
      </c>
      <c r="B175" s="50" t="n"/>
      <c r="C175" s="40" t="n"/>
      <c r="D175" s="51" t="n"/>
      <c r="E175" s="51" t="n"/>
      <c r="F175" s="52">
        <f>IF(OR(D175="",E175=""),"",(E175-D175)*1440)</f>
        <v/>
      </c>
      <c r="G175" s="53" t="inlineStr">
        <is>
          <t>Sistema</t>
        </is>
      </c>
    </row>
    <row r="176" ht="15" customHeight="1" s="27">
      <c r="A176" s="39">
        <f>IF(B176="","",ROW()-2)</f>
        <v/>
      </c>
      <c r="B176" s="50" t="n"/>
      <c r="C176" s="40" t="n"/>
      <c r="D176" s="51" t="n"/>
      <c r="E176" s="51" t="n"/>
      <c r="F176" s="52">
        <f>IF(OR(D176="",E176=""),"",(E176-D176)*1440)</f>
        <v/>
      </c>
      <c r="G176" s="53" t="inlineStr">
        <is>
          <t>Sistema</t>
        </is>
      </c>
    </row>
    <row r="177" ht="15" customHeight="1" s="27">
      <c r="A177" s="39">
        <f>IF(B177="","",ROW()-2)</f>
        <v/>
      </c>
      <c r="B177" s="50" t="n"/>
      <c r="C177" s="40" t="n"/>
      <c r="D177" s="51" t="n"/>
      <c r="E177" s="51" t="n"/>
      <c r="F177" s="52">
        <f>IF(OR(D177="",E177=""),"",(E177-D177)*1440)</f>
        <v/>
      </c>
      <c r="G177" s="53" t="inlineStr">
        <is>
          <t>Sistema</t>
        </is>
      </c>
    </row>
    <row r="178" ht="15" customHeight="1" s="27">
      <c r="A178" s="39">
        <f>IF(B178="","",ROW()-2)</f>
        <v/>
      </c>
      <c r="B178" s="50" t="n"/>
      <c r="C178" s="40" t="n"/>
      <c r="D178" s="51" t="n"/>
      <c r="E178" s="51" t="n"/>
      <c r="F178" s="52">
        <f>IF(OR(D178="",E178=""),"",(E178-D178)*1440)</f>
        <v/>
      </c>
      <c r="G178" s="53" t="inlineStr">
        <is>
          <t>Sistema</t>
        </is>
      </c>
    </row>
    <row r="179" ht="15" customHeight="1" s="27">
      <c r="A179" s="39">
        <f>IF(B179="","",ROW()-2)</f>
        <v/>
      </c>
      <c r="B179" s="50" t="n"/>
      <c r="C179" s="40" t="n"/>
      <c r="D179" s="51" t="n"/>
      <c r="E179" s="51" t="n"/>
      <c r="F179" s="52">
        <f>IF(OR(D179="",E179=""),"",(E179-D179)*1440)</f>
        <v/>
      </c>
      <c r="G179" s="53" t="inlineStr">
        <is>
          <t>Sistema</t>
        </is>
      </c>
    </row>
    <row r="180" ht="15" customHeight="1" s="27">
      <c r="A180" s="39">
        <f>IF(B180="","",ROW()-2)</f>
        <v/>
      </c>
      <c r="B180" s="50" t="n"/>
      <c r="C180" s="40" t="n"/>
      <c r="D180" s="51" t="n"/>
      <c r="E180" s="51" t="n"/>
      <c r="F180" s="52">
        <f>IF(OR(D180="",E180=""),"",(E180-D180)*1440)</f>
        <v/>
      </c>
      <c r="G180" s="53" t="inlineStr">
        <is>
          <t>Sistema</t>
        </is>
      </c>
    </row>
    <row r="181" ht="15" customHeight="1" s="27">
      <c r="A181" s="39">
        <f>IF(B181="","",ROW()-2)</f>
        <v/>
      </c>
      <c r="B181" s="50" t="n"/>
      <c r="C181" s="40" t="n"/>
      <c r="D181" s="51" t="n"/>
      <c r="E181" s="51" t="n"/>
      <c r="F181" s="52">
        <f>IF(OR(D181="",E181=""),"",(E181-D181)*1440)</f>
        <v/>
      </c>
      <c r="G181" s="53" t="inlineStr">
        <is>
          <t>Sistema</t>
        </is>
      </c>
    </row>
    <row r="182" ht="15" customHeight="1" s="27">
      <c r="A182" s="39">
        <f>IF(B182="","",ROW()-2)</f>
        <v/>
      </c>
      <c r="B182" s="50" t="n"/>
      <c r="C182" s="40" t="n"/>
      <c r="D182" s="51" t="n"/>
      <c r="E182" s="51" t="n"/>
      <c r="F182" s="52">
        <f>IF(OR(D182="",E182=""),"",(E182-D182)*1440)</f>
        <v/>
      </c>
      <c r="G182" s="53" t="inlineStr">
        <is>
          <t>Sistema</t>
        </is>
      </c>
    </row>
    <row r="183" ht="15" customHeight="1" s="27">
      <c r="A183" s="39">
        <f>IF(B183="","",ROW()-2)</f>
        <v/>
      </c>
      <c r="B183" s="50" t="n"/>
      <c r="C183" s="40" t="n"/>
      <c r="D183" s="51" t="n"/>
      <c r="E183" s="51" t="n"/>
      <c r="F183" s="52">
        <f>IF(OR(D183="",E183=""),"",(E183-D183)*1440)</f>
        <v/>
      </c>
      <c r="G183" s="53" t="inlineStr">
        <is>
          <t>Sistema</t>
        </is>
      </c>
    </row>
    <row r="184" ht="15" customHeight="1" s="27">
      <c r="A184" s="39">
        <f>IF(B184="","",ROW()-2)</f>
        <v/>
      </c>
      <c r="B184" s="50" t="n"/>
      <c r="C184" s="40" t="n"/>
      <c r="D184" s="51" t="n"/>
      <c r="E184" s="51" t="n"/>
      <c r="F184" s="52">
        <f>IF(OR(D184="",E184=""),"",(E184-D184)*1440)</f>
        <v/>
      </c>
      <c r="G184" s="53" t="inlineStr">
        <is>
          <t>Sistema</t>
        </is>
      </c>
    </row>
    <row r="185" ht="15" customHeight="1" s="27">
      <c r="A185" s="39">
        <f>IF(B185="","",ROW()-2)</f>
        <v/>
      </c>
      <c r="B185" s="50" t="n"/>
      <c r="C185" s="40" t="n"/>
      <c r="D185" s="51" t="n"/>
      <c r="E185" s="51" t="n"/>
      <c r="F185" s="52">
        <f>IF(OR(D185="",E185=""),"",(E185-D185)*1440)</f>
        <v/>
      </c>
      <c r="G185" s="53" t="inlineStr">
        <is>
          <t>Sistema</t>
        </is>
      </c>
    </row>
    <row r="186" ht="15" customHeight="1" s="27">
      <c r="A186" s="39">
        <f>IF(B186="","",ROW()-2)</f>
        <v/>
      </c>
      <c r="B186" s="50" t="n"/>
      <c r="C186" s="40" t="n"/>
      <c r="D186" s="51" t="n"/>
      <c r="E186" s="51" t="n"/>
      <c r="F186" s="52">
        <f>IF(OR(D186="",E186=""),"",(E186-D186)*1440)</f>
        <v/>
      </c>
      <c r="G186" s="53" t="inlineStr">
        <is>
          <t>Sistema</t>
        </is>
      </c>
    </row>
    <row r="187" ht="15" customHeight="1" s="27">
      <c r="A187" s="39">
        <f>IF(B187="","",ROW()-2)</f>
        <v/>
      </c>
      <c r="B187" s="50" t="n"/>
      <c r="C187" s="40" t="n"/>
      <c r="D187" s="51" t="n"/>
      <c r="E187" s="51" t="n"/>
      <c r="F187" s="52">
        <f>IF(OR(D187="",E187=""),"",(E187-D187)*1440)</f>
        <v/>
      </c>
      <c r="G187" s="53" t="inlineStr">
        <is>
          <t>Sistema</t>
        </is>
      </c>
    </row>
    <row r="188" ht="15" customHeight="1" s="27">
      <c r="A188" s="39">
        <f>IF(B188="","",ROW()-2)</f>
        <v/>
      </c>
      <c r="B188" s="50" t="n"/>
      <c r="C188" s="40" t="n"/>
      <c r="D188" s="51" t="n"/>
      <c r="E188" s="51" t="n"/>
      <c r="F188" s="52">
        <f>IF(OR(D188="",E188=""),"",(E188-D188)*1440)</f>
        <v/>
      </c>
      <c r="G188" s="53" t="inlineStr">
        <is>
          <t>Sistema</t>
        </is>
      </c>
    </row>
    <row r="189" ht="15" customHeight="1" s="27">
      <c r="A189" s="39">
        <f>IF(B189="","",ROW()-2)</f>
        <v/>
      </c>
      <c r="B189" s="50" t="n"/>
      <c r="C189" s="40" t="n"/>
      <c r="D189" s="51" t="n"/>
      <c r="E189" s="51" t="n"/>
      <c r="F189" s="52">
        <f>IF(OR(D189="",E189=""),"",(E189-D189)*1440)</f>
        <v/>
      </c>
      <c r="G189" s="53" t="inlineStr">
        <is>
          <t>Sistema</t>
        </is>
      </c>
    </row>
    <row r="190" ht="15" customHeight="1" s="27">
      <c r="A190" s="39">
        <f>IF(B190="","",ROW()-2)</f>
        <v/>
      </c>
      <c r="B190" s="50" t="n"/>
      <c r="C190" s="40" t="n"/>
      <c r="D190" s="51" t="n"/>
      <c r="E190" s="51" t="n"/>
      <c r="F190" s="52">
        <f>IF(OR(D190="",E190=""),"",(E190-D190)*1440)</f>
        <v/>
      </c>
      <c r="G190" s="53" t="inlineStr">
        <is>
          <t>Sistema</t>
        </is>
      </c>
    </row>
    <row r="191" ht="15" customHeight="1" s="27">
      <c r="A191" s="39">
        <f>IF(B191="","",ROW()-2)</f>
        <v/>
      </c>
      <c r="B191" s="50" t="n"/>
      <c r="C191" s="40" t="n"/>
      <c r="D191" s="51" t="n"/>
      <c r="E191" s="51" t="n"/>
      <c r="F191" s="52">
        <f>IF(OR(D191="",E191=""),"",(E191-D191)*1440)</f>
        <v/>
      </c>
      <c r="G191" s="53" t="inlineStr">
        <is>
          <t>Sistema</t>
        </is>
      </c>
    </row>
    <row r="192" ht="15" customHeight="1" s="27">
      <c r="A192" s="39">
        <f>IF(B192="","",ROW()-2)</f>
        <v/>
      </c>
      <c r="B192" s="50" t="n"/>
      <c r="C192" s="40" t="n"/>
      <c r="D192" s="51" t="n"/>
      <c r="E192" s="51" t="n"/>
      <c r="F192" s="52">
        <f>IF(OR(D192="",E192=""),"",(E192-D192)*1440)</f>
        <v/>
      </c>
      <c r="G192" s="53" t="inlineStr">
        <is>
          <t>Sistema</t>
        </is>
      </c>
    </row>
    <row r="193" ht="15" customHeight="1" s="27">
      <c r="A193" s="39">
        <f>IF(B193="","",ROW()-2)</f>
        <v/>
      </c>
      <c r="B193" s="50" t="n"/>
      <c r="C193" s="40" t="n"/>
      <c r="D193" s="51" t="n"/>
      <c r="E193" s="51" t="n"/>
      <c r="F193" s="52">
        <f>IF(OR(D193="",E193=""),"",(E193-D193)*1440)</f>
        <v/>
      </c>
      <c r="G193" s="53" t="inlineStr">
        <is>
          <t>Sistema</t>
        </is>
      </c>
    </row>
    <row r="194" ht="15" customHeight="1" s="27">
      <c r="A194" s="39">
        <f>IF(B194="","",ROW()-2)</f>
        <v/>
      </c>
      <c r="B194" s="50" t="n"/>
      <c r="C194" s="40" t="n"/>
      <c r="D194" s="51" t="n"/>
      <c r="E194" s="51" t="n"/>
      <c r="F194" s="52">
        <f>IF(OR(D194="",E194=""),"",(E194-D194)*1440)</f>
        <v/>
      </c>
      <c r="G194" s="53" t="inlineStr">
        <is>
          <t>Sistema</t>
        </is>
      </c>
    </row>
    <row r="195" ht="15" customHeight="1" s="27">
      <c r="A195" s="39">
        <f>IF(B195="","",ROW()-2)</f>
        <v/>
      </c>
      <c r="B195" s="50" t="n"/>
      <c r="C195" s="40" t="n"/>
      <c r="D195" s="51" t="n"/>
      <c r="E195" s="51" t="n"/>
      <c r="F195" s="52">
        <f>IF(OR(D195="",E195=""),"",(E195-D195)*1440)</f>
        <v/>
      </c>
      <c r="G195" s="53" t="inlineStr">
        <is>
          <t>Sistema</t>
        </is>
      </c>
    </row>
    <row r="196" ht="15" customHeight="1" s="27">
      <c r="A196" s="39">
        <f>IF(B196="","",ROW()-2)</f>
        <v/>
      </c>
      <c r="B196" s="50" t="n"/>
      <c r="C196" s="40" t="n"/>
      <c r="D196" s="51" t="n"/>
      <c r="E196" s="51" t="n"/>
      <c r="F196" s="52">
        <f>IF(OR(D196="",E196=""),"",(E196-D196)*1440)</f>
        <v/>
      </c>
      <c r="G196" s="53" t="inlineStr">
        <is>
          <t>Sistema</t>
        </is>
      </c>
    </row>
    <row r="197" ht="15" customHeight="1" s="27">
      <c r="A197" s="39">
        <f>IF(B197="","",ROW()-2)</f>
        <v/>
      </c>
      <c r="B197" s="50" t="n"/>
      <c r="C197" s="40" t="n"/>
      <c r="D197" s="51" t="n"/>
      <c r="E197" s="51" t="n"/>
      <c r="F197" s="52">
        <f>IF(OR(D197="",E197=""),"",(E197-D197)*1440)</f>
        <v/>
      </c>
      <c r="G197" s="53" t="inlineStr">
        <is>
          <t>Sistema</t>
        </is>
      </c>
    </row>
    <row r="198" ht="15" customHeight="1" s="27">
      <c r="A198" s="39">
        <f>IF(B198="","",ROW()-2)</f>
        <v/>
      </c>
      <c r="B198" s="50" t="n"/>
      <c r="C198" s="40" t="n"/>
      <c r="D198" s="51" t="n"/>
      <c r="E198" s="51" t="n"/>
      <c r="F198" s="52">
        <f>IF(OR(D198="",E198=""),"",(E198-D198)*1440)</f>
        <v/>
      </c>
      <c r="G198" s="53" t="inlineStr">
        <is>
          <t>Sistema</t>
        </is>
      </c>
    </row>
    <row r="199" ht="15" customHeight="1" s="27">
      <c r="A199" s="39">
        <f>IF(B199="","",ROW()-2)</f>
        <v/>
      </c>
      <c r="B199" s="50" t="n"/>
      <c r="C199" s="40" t="n"/>
      <c r="D199" s="51" t="n"/>
      <c r="E199" s="51" t="n"/>
      <c r="F199" s="52">
        <f>IF(OR(D199="",E199=""),"",(E199-D199)*1440)</f>
        <v/>
      </c>
      <c r="G199" s="53" t="inlineStr">
        <is>
          <t>Sistema</t>
        </is>
      </c>
    </row>
    <row r="200" ht="15" customHeight="1" s="27">
      <c r="A200" s="39">
        <f>IF(B200="","",ROW()-2)</f>
        <v/>
      </c>
      <c r="B200" s="50" t="n"/>
      <c r="C200" s="40" t="n"/>
      <c r="D200" s="51" t="n"/>
      <c r="E200" s="51" t="n"/>
      <c r="F200" s="52">
        <f>IF(OR(D200="",E200=""),"",(E200-D200)*1440)</f>
        <v/>
      </c>
      <c r="G200" s="53" t="inlineStr">
        <is>
          <t>Sistema</t>
        </is>
      </c>
    </row>
    <row r="201" ht="15" customHeight="1" s="27">
      <c r="A201" s="39">
        <f>IF(B201="","",ROW()-2)</f>
        <v/>
      </c>
      <c r="B201" s="50" t="n"/>
      <c r="C201" s="40" t="n"/>
      <c r="D201" s="51" t="n"/>
      <c r="E201" s="51" t="n"/>
      <c r="F201" s="52">
        <f>IF(OR(D201="",E201=""),"",(E201-D201)*1440)</f>
        <v/>
      </c>
      <c r="G201" s="53" t="inlineStr">
        <is>
          <t>Sistema</t>
        </is>
      </c>
    </row>
    <row r="202" ht="15" customHeight="1" s="27">
      <c r="A202" s="39">
        <f>IF(B202="","",ROW()-2)</f>
        <v/>
      </c>
      <c r="B202" s="50" t="n"/>
      <c r="C202" s="40" t="n"/>
      <c r="D202" s="51" t="n"/>
      <c r="E202" s="51" t="n"/>
      <c r="F202" s="52">
        <f>IF(OR(D202="",E202=""),"",(E202-D202)*1440)</f>
        <v/>
      </c>
      <c r="G202" s="53" t="inlineStr">
        <is>
          <t>Sistema</t>
        </is>
      </c>
    </row>
  </sheetData>
  <dataValidations count="1">
    <dataValidation sqref="B3:B202" showDropDown="0" showInputMessage="0" showErrorMessage="0" allowBlank="1" type="list" errorStyle="stop" operator="between">
      <formula1>Listas!$B$2:$B$14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</row>
  </sheetData>
  <dataValidations count="4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4"/>
    <col width="14" customWidth="1" style="26" min="5" max="5"/>
    <col width="22" customWidth="1" style="26" min="6" max="6"/>
    <col width="16" customWidth="1" style="26" min="7" max="7"/>
  </cols>
  <sheetData>
    <row r="1" ht="30" customHeight="1" s="27">
      <c r="A1" s="38" t="inlineStr">
        <is>
          <t>ID cita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Cita
programada</t>
        </is>
      </c>
      <c r="E1" s="38" t="inlineStr">
        <is>
          <t>Estado</t>
        </is>
      </c>
      <c r="F1" s="38" t="inlineStr">
        <is>
          <t>Motivo
(si no asistió)</t>
        </is>
      </c>
      <c r="G1" s="38" t="inlineStr">
        <is>
          <t>Recordatorio
enviado</t>
        </is>
      </c>
    </row>
    <row r="2" ht="15" customHeight="1" s="27">
      <c r="A2" s="46" t="inlineStr">
        <is>
          <t>Ej.</t>
        </is>
      </c>
      <c r="B2" s="47" t="n">
        <v>46297</v>
      </c>
      <c r="C2" s="46" t="inlineStr">
        <is>
          <t>PAC-00</t>
        </is>
      </c>
      <c r="D2" s="46" t="inlineStr">
        <is>
          <t>Sí</t>
        </is>
      </c>
      <c r="E2" s="46" t="inlineStr">
        <is>
          <t>No asistió</t>
        </is>
      </c>
      <c r="F2" s="46" t="inlineStr">
        <is>
          <t>Sin aviso</t>
        </is>
      </c>
      <c r="G2" s="46" t="inlineStr">
        <is>
          <t>No</t>
        </is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</row>
  </sheetData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Listas!$C$2:$C$3</formula1>
      <formula2>0</formula2>
    </dataValidation>
    <dataValidation sqref="E3:E202" showDropDown="0" showInputMessage="0" showErrorMessage="0" allowBlank="1" type="list" errorStyle="stop" operator="between">
      <formula1>Listas!$D$2:$D$5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</row>
    <row r="2" ht="15" customHeight="1" s="27">
      <c r="A2" s="46" t="inlineStr">
        <is>
          <t>Ej.</t>
        </is>
      </c>
      <c r="B2" s="47" t="n">
        <v>46267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Presencial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40" t="n"/>
      <c r="F3" s="40" t="n"/>
      <c r="G3" s="40" t="n"/>
      <c r="H3" s="54" t="n"/>
    </row>
    <row r="4" ht="15" customHeight="1" s="27">
      <c r="A4" s="39">
        <f>IF(B4="","",ROW()-2)</f>
        <v/>
      </c>
      <c r="B4" s="50" t="n"/>
      <c r="C4" s="40" t="n"/>
      <c r="D4" s="40" t="n"/>
      <c r="E4" s="40" t="n"/>
      <c r="F4" s="40" t="n"/>
      <c r="G4" s="40" t="n"/>
      <c r="H4" s="54" t="n"/>
    </row>
    <row r="5" ht="15" customHeight="1" s="27">
      <c r="A5" s="39">
        <f>IF(B5="","",ROW()-2)</f>
        <v/>
      </c>
      <c r="B5" s="50" t="n"/>
      <c r="C5" s="40" t="n"/>
      <c r="D5" s="40" t="n"/>
      <c r="E5" s="40" t="n"/>
      <c r="F5" s="40" t="n"/>
      <c r="G5" s="40" t="n"/>
      <c r="H5" s="54" t="n"/>
    </row>
    <row r="6" ht="15" customHeight="1" s="27">
      <c r="A6" s="39">
        <f>IF(B6="","",ROW()-2)</f>
        <v/>
      </c>
      <c r="B6" s="50" t="n"/>
      <c r="C6" s="40" t="n"/>
      <c r="D6" s="40" t="n"/>
      <c r="E6" s="40" t="n"/>
      <c r="F6" s="40" t="n"/>
      <c r="G6" s="40" t="n"/>
      <c r="H6" s="54" t="n"/>
    </row>
    <row r="7" ht="15" customHeight="1" s="27">
      <c r="A7" s="39">
        <f>IF(B7="","",ROW()-2)</f>
        <v/>
      </c>
      <c r="B7" s="50" t="n"/>
      <c r="C7" s="40" t="n"/>
      <c r="D7" s="40" t="n"/>
      <c r="E7" s="40" t="n"/>
      <c r="F7" s="40" t="n"/>
      <c r="G7" s="40" t="n"/>
      <c r="H7" s="54" t="n"/>
    </row>
    <row r="8" ht="15" customHeight="1" s="27">
      <c r="A8" s="39">
        <f>IF(B8="","",ROW()-2)</f>
        <v/>
      </c>
      <c r="B8" s="50" t="n"/>
      <c r="C8" s="40" t="n"/>
      <c r="D8" s="40" t="n"/>
      <c r="E8" s="40" t="n"/>
      <c r="F8" s="40" t="n"/>
      <c r="G8" s="40" t="n"/>
      <c r="H8" s="54" t="n"/>
    </row>
    <row r="9" ht="15" customHeight="1" s="27">
      <c r="A9" s="39">
        <f>IF(B9="","",ROW()-2)</f>
        <v/>
      </c>
      <c r="B9" s="50" t="n"/>
      <c r="C9" s="40" t="n"/>
      <c r="D9" s="40" t="n"/>
      <c r="E9" s="40" t="n"/>
      <c r="F9" s="40" t="n"/>
      <c r="G9" s="40" t="n"/>
      <c r="H9" s="54" t="n"/>
    </row>
    <row r="10" ht="15" customHeight="1" s="27">
      <c r="A10" s="39">
        <f>IF(B10="","",ROW()-2)</f>
        <v/>
      </c>
      <c r="B10" s="50" t="n"/>
      <c r="C10" s="40" t="n"/>
      <c r="D10" s="40" t="n"/>
      <c r="E10" s="40" t="n"/>
      <c r="F10" s="40" t="n"/>
      <c r="G10" s="40" t="n"/>
      <c r="H10" s="54" t="n"/>
    </row>
    <row r="11" ht="15" customHeight="1" s="27">
      <c r="A11" s="39">
        <f>IF(B11="","",ROW()-2)</f>
        <v/>
      </c>
      <c r="B11" s="50" t="n"/>
      <c r="C11" s="40" t="n"/>
      <c r="D11" s="40" t="n"/>
      <c r="E11" s="40" t="n"/>
      <c r="F11" s="40" t="n"/>
      <c r="G11" s="40" t="n"/>
      <c r="H11" s="54" t="n"/>
    </row>
    <row r="12" ht="15" customHeight="1" s="27">
      <c r="A12" s="39">
        <f>IF(B12="","",ROW()-2)</f>
        <v/>
      </c>
      <c r="B12" s="50" t="n"/>
      <c r="C12" s="40" t="n"/>
      <c r="D12" s="40" t="n"/>
      <c r="E12" s="40" t="n"/>
      <c r="F12" s="40" t="n"/>
      <c r="G12" s="40" t="n"/>
      <c r="H12" s="54" t="n"/>
    </row>
    <row r="13" ht="15" customHeight="1" s="27">
      <c r="A13" s="39">
        <f>IF(B13="","",ROW()-2)</f>
        <v/>
      </c>
      <c r="B13" s="50" t="n"/>
      <c r="C13" s="40" t="n"/>
      <c r="D13" s="40" t="n"/>
      <c r="E13" s="40" t="n"/>
      <c r="F13" s="40" t="n"/>
      <c r="G13" s="40" t="n"/>
      <c r="H13" s="54" t="n"/>
    </row>
    <row r="14" ht="15" customHeight="1" s="27">
      <c r="A14" s="39">
        <f>IF(B14="","",ROW()-2)</f>
        <v/>
      </c>
      <c r="B14" s="50" t="n"/>
      <c r="C14" s="40" t="n"/>
      <c r="D14" s="40" t="n"/>
      <c r="E14" s="40" t="n"/>
      <c r="F14" s="40" t="n"/>
      <c r="G14" s="40" t="n"/>
      <c r="H14" s="54" t="n"/>
    </row>
    <row r="15" ht="15" customHeight="1" s="27">
      <c r="A15" s="39">
        <f>IF(B15="","",ROW()-2)</f>
        <v/>
      </c>
      <c r="B15" s="50" t="n"/>
      <c r="C15" s="40" t="n"/>
      <c r="D15" s="40" t="n"/>
      <c r="E15" s="40" t="n"/>
      <c r="F15" s="40" t="n"/>
      <c r="G15" s="40" t="n"/>
      <c r="H15" s="54" t="n"/>
    </row>
    <row r="16" ht="15" customHeight="1" s="27">
      <c r="A16" s="39">
        <f>IF(B16="","",ROW()-2)</f>
        <v/>
      </c>
      <c r="B16" s="50" t="n"/>
      <c r="C16" s="40" t="n"/>
      <c r="D16" s="40" t="n"/>
      <c r="E16" s="40" t="n"/>
      <c r="F16" s="40" t="n"/>
      <c r="G16" s="40" t="n"/>
      <c r="H16" s="54" t="n"/>
    </row>
    <row r="17" ht="15" customHeight="1" s="27">
      <c r="A17" s="39">
        <f>IF(B17="","",ROW()-2)</f>
        <v/>
      </c>
      <c r="B17" s="50" t="n"/>
      <c r="C17" s="40" t="n"/>
      <c r="D17" s="40" t="n"/>
      <c r="E17" s="40" t="n"/>
      <c r="F17" s="40" t="n"/>
      <c r="G17" s="40" t="n"/>
      <c r="H17" s="54" t="n"/>
    </row>
    <row r="18" ht="15" customHeight="1" s="27">
      <c r="A18" s="39">
        <f>IF(B18="","",ROW()-2)</f>
        <v/>
      </c>
      <c r="B18" s="50" t="n"/>
      <c r="C18" s="40" t="n"/>
      <c r="D18" s="40" t="n"/>
      <c r="E18" s="40" t="n"/>
      <c r="F18" s="40" t="n"/>
      <c r="G18" s="40" t="n"/>
      <c r="H18" s="54" t="n"/>
    </row>
    <row r="19" ht="15" customHeight="1" s="27">
      <c r="A19" s="39">
        <f>IF(B19="","",ROW()-2)</f>
        <v/>
      </c>
      <c r="B19" s="50" t="n"/>
      <c r="C19" s="40" t="n"/>
      <c r="D19" s="40" t="n"/>
      <c r="E19" s="40" t="n"/>
      <c r="F19" s="40" t="n"/>
      <c r="G19" s="40" t="n"/>
      <c r="H19" s="54" t="n"/>
    </row>
    <row r="20" ht="15" customHeight="1" s="27">
      <c r="A20" s="39">
        <f>IF(B20="","",ROW()-2)</f>
        <v/>
      </c>
      <c r="B20" s="50" t="n"/>
      <c r="C20" s="40" t="n"/>
      <c r="D20" s="40" t="n"/>
      <c r="E20" s="40" t="n"/>
      <c r="F20" s="40" t="n"/>
      <c r="G20" s="40" t="n"/>
      <c r="H20" s="54" t="n"/>
    </row>
    <row r="21" ht="15" customHeight="1" s="27">
      <c r="A21" s="39">
        <f>IF(B21="","",ROW()-2)</f>
        <v/>
      </c>
      <c r="B21" s="50" t="n"/>
      <c r="C21" s="40" t="n"/>
      <c r="D21" s="40" t="n"/>
      <c r="E21" s="40" t="n"/>
      <c r="F21" s="40" t="n"/>
      <c r="G21" s="40" t="n"/>
      <c r="H21" s="54" t="n"/>
    </row>
    <row r="22" ht="15" customHeight="1" s="27">
      <c r="A22" s="39">
        <f>IF(B22="","",ROW()-2)</f>
        <v/>
      </c>
      <c r="B22" s="50" t="n"/>
      <c r="C22" s="40" t="n"/>
      <c r="D22" s="40" t="n"/>
      <c r="E22" s="40" t="n"/>
      <c r="F22" s="40" t="n"/>
      <c r="G22" s="40" t="n"/>
      <c r="H22" s="54" t="n"/>
    </row>
    <row r="23" ht="15" customHeight="1" s="27">
      <c r="A23" s="39">
        <f>IF(B23="","",ROW()-2)</f>
        <v/>
      </c>
      <c r="B23" s="50" t="n"/>
      <c r="C23" s="40" t="n"/>
      <c r="D23" s="40" t="n"/>
      <c r="E23" s="40" t="n"/>
      <c r="F23" s="40" t="n"/>
      <c r="G23" s="40" t="n"/>
      <c r="H23" s="54" t="n"/>
    </row>
    <row r="24" ht="15" customHeight="1" s="27">
      <c r="A24" s="39">
        <f>IF(B24="","",ROW()-2)</f>
        <v/>
      </c>
      <c r="B24" s="50" t="n"/>
      <c r="C24" s="40" t="n"/>
      <c r="D24" s="40" t="n"/>
      <c r="E24" s="40" t="n"/>
      <c r="F24" s="40" t="n"/>
      <c r="G24" s="40" t="n"/>
      <c r="H24" s="54" t="n"/>
    </row>
    <row r="25" ht="15" customHeight="1" s="27">
      <c r="A25" s="39">
        <f>IF(B25="","",ROW()-2)</f>
        <v/>
      </c>
      <c r="B25" s="50" t="n"/>
      <c r="C25" s="40" t="n"/>
      <c r="D25" s="40" t="n"/>
      <c r="E25" s="40" t="n"/>
      <c r="F25" s="40" t="n"/>
      <c r="G25" s="40" t="n"/>
      <c r="H25" s="54" t="n"/>
    </row>
    <row r="26" ht="15" customHeight="1" s="27">
      <c r="A26" s="39">
        <f>IF(B26="","",ROW()-2)</f>
        <v/>
      </c>
      <c r="B26" s="50" t="n"/>
      <c r="C26" s="40" t="n"/>
      <c r="D26" s="40" t="n"/>
      <c r="E26" s="40" t="n"/>
      <c r="F26" s="40" t="n"/>
      <c r="G26" s="40" t="n"/>
      <c r="H26" s="54" t="n"/>
    </row>
    <row r="27" ht="15" customHeight="1" s="27">
      <c r="A27" s="39">
        <f>IF(B27="","",ROW()-2)</f>
        <v/>
      </c>
      <c r="B27" s="50" t="n"/>
      <c r="C27" s="40" t="n"/>
      <c r="D27" s="40" t="n"/>
      <c r="E27" s="40" t="n"/>
      <c r="F27" s="40" t="n"/>
      <c r="G27" s="40" t="n"/>
      <c r="H27" s="54" t="n"/>
    </row>
    <row r="28" ht="15" customHeight="1" s="27">
      <c r="A28" s="39">
        <f>IF(B28="","",ROW()-2)</f>
        <v/>
      </c>
      <c r="B28" s="50" t="n"/>
      <c r="C28" s="40" t="n"/>
      <c r="D28" s="40" t="n"/>
      <c r="E28" s="40" t="n"/>
      <c r="F28" s="40" t="n"/>
      <c r="G28" s="40" t="n"/>
      <c r="H28" s="54" t="n"/>
    </row>
    <row r="29" ht="15" customHeight="1" s="27">
      <c r="A29" s="39">
        <f>IF(B29="","",ROW()-2)</f>
        <v/>
      </c>
      <c r="B29" s="50" t="n"/>
      <c r="C29" s="40" t="n"/>
      <c r="D29" s="40" t="n"/>
      <c r="E29" s="40" t="n"/>
      <c r="F29" s="40" t="n"/>
      <c r="G29" s="40" t="n"/>
      <c r="H29" s="54" t="n"/>
    </row>
    <row r="30" ht="15" customHeight="1" s="27">
      <c r="A30" s="39">
        <f>IF(B30="","",ROW()-2)</f>
        <v/>
      </c>
      <c r="B30" s="50" t="n"/>
      <c r="C30" s="40" t="n"/>
      <c r="D30" s="40" t="n"/>
      <c r="E30" s="40" t="n"/>
      <c r="F30" s="40" t="n"/>
      <c r="G30" s="40" t="n"/>
      <c r="H30" s="54" t="n"/>
    </row>
    <row r="31" ht="15" customHeight="1" s="27">
      <c r="A31" s="39">
        <f>IF(B31="","",ROW()-2)</f>
        <v/>
      </c>
      <c r="B31" s="50" t="n"/>
      <c r="C31" s="40" t="n"/>
      <c r="D31" s="40" t="n"/>
      <c r="E31" s="40" t="n"/>
      <c r="F31" s="40" t="n"/>
      <c r="G31" s="40" t="n"/>
      <c r="H31" s="54" t="n"/>
    </row>
    <row r="32" ht="15" customHeight="1" s="27">
      <c r="A32" s="39">
        <f>IF(B32="","",ROW()-2)</f>
        <v/>
      </c>
      <c r="B32" s="50" t="n"/>
      <c r="C32" s="40" t="n"/>
      <c r="D32" s="40" t="n"/>
      <c r="E32" s="40" t="n"/>
      <c r="F32" s="40" t="n"/>
      <c r="G32" s="40" t="n"/>
      <c r="H32" s="54" t="n"/>
    </row>
    <row r="33" ht="15" customHeight="1" s="27">
      <c r="A33" s="39">
        <f>IF(B33="","",ROW()-2)</f>
        <v/>
      </c>
      <c r="B33" s="50" t="n"/>
      <c r="C33" s="40" t="n"/>
      <c r="D33" s="40" t="n"/>
      <c r="E33" s="40" t="n"/>
      <c r="F33" s="40" t="n"/>
      <c r="G33" s="40" t="n"/>
      <c r="H33" s="54" t="n"/>
    </row>
    <row r="34" ht="15" customHeight="1" s="27">
      <c r="A34" s="39">
        <f>IF(B34="","",ROW()-2)</f>
        <v/>
      </c>
      <c r="B34" s="50" t="n"/>
      <c r="C34" s="40" t="n"/>
      <c r="D34" s="40" t="n"/>
      <c r="E34" s="40" t="n"/>
      <c r="F34" s="40" t="n"/>
      <c r="G34" s="40" t="n"/>
      <c r="H34" s="54" t="n"/>
    </row>
    <row r="35" ht="15" customHeight="1" s="27">
      <c r="A35" s="39">
        <f>IF(B35="","",ROW()-2)</f>
        <v/>
      </c>
      <c r="B35" s="50" t="n"/>
      <c r="C35" s="40" t="n"/>
      <c r="D35" s="40" t="n"/>
      <c r="E35" s="40" t="n"/>
      <c r="F35" s="40" t="n"/>
      <c r="G35" s="40" t="n"/>
      <c r="H35" s="54" t="n"/>
    </row>
    <row r="36" ht="15" customHeight="1" s="27">
      <c r="A36" s="39">
        <f>IF(B36="","",ROW()-2)</f>
        <v/>
      </c>
      <c r="B36" s="50" t="n"/>
      <c r="C36" s="40" t="n"/>
      <c r="D36" s="40" t="n"/>
      <c r="E36" s="40" t="n"/>
      <c r="F36" s="40" t="n"/>
      <c r="G36" s="40" t="n"/>
      <c r="H36" s="54" t="n"/>
    </row>
    <row r="37" ht="15" customHeight="1" s="27">
      <c r="A37" s="39">
        <f>IF(B37="","",ROW()-2)</f>
        <v/>
      </c>
      <c r="B37" s="50" t="n"/>
      <c r="C37" s="40" t="n"/>
      <c r="D37" s="40" t="n"/>
      <c r="E37" s="40" t="n"/>
      <c r="F37" s="40" t="n"/>
      <c r="G37" s="40" t="n"/>
      <c r="H37" s="54" t="n"/>
    </row>
    <row r="38" ht="15" customHeight="1" s="27">
      <c r="A38" s="39">
        <f>IF(B38="","",ROW()-2)</f>
        <v/>
      </c>
      <c r="B38" s="50" t="n"/>
      <c r="C38" s="40" t="n"/>
      <c r="D38" s="40" t="n"/>
      <c r="E38" s="40" t="n"/>
      <c r="F38" s="40" t="n"/>
      <c r="G38" s="40" t="n"/>
      <c r="H38" s="54" t="n"/>
    </row>
    <row r="39" ht="15" customHeight="1" s="27">
      <c r="A39" s="39">
        <f>IF(B39="","",ROW()-2)</f>
        <v/>
      </c>
      <c r="B39" s="50" t="n"/>
      <c r="C39" s="40" t="n"/>
      <c r="D39" s="40" t="n"/>
      <c r="E39" s="40" t="n"/>
      <c r="F39" s="40" t="n"/>
      <c r="G39" s="40" t="n"/>
      <c r="H39" s="54" t="n"/>
    </row>
    <row r="40" ht="15" customHeight="1" s="27">
      <c r="A40" s="39">
        <f>IF(B40="","",ROW()-2)</f>
        <v/>
      </c>
      <c r="B40" s="50" t="n"/>
      <c r="C40" s="40" t="n"/>
      <c r="D40" s="40" t="n"/>
      <c r="E40" s="40" t="n"/>
      <c r="F40" s="40" t="n"/>
      <c r="G40" s="40" t="n"/>
      <c r="H40" s="54" t="n"/>
    </row>
    <row r="41" ht="15" customHeight="1" s="27">
      <c r="A41" s="39">
        <f>IF(B41="","",ROW()-2)</f>
        <v/>
      </c>
      <c r="B41" s="50" t="n"/>
      <c r="C41" s="40" t="n"/>
      <c r="D41" s="40" t="n"/>
      <c r="E41" s="40" t="n"/>
      <c r="F41" s="40" t="n"/>
      <c r="G41" s="40" t="n"/>
      <c r="H41" s="54" t="n"/>
    </row>
    <row r="42" ht="15" customHeight="1" s="27">
      <c r="A42" s="39">
        <f>IF(B42="","",ROW()-2)</f>
        <v/>
      </c>
      <c r="B42" s="50" t="n"/>
      <c r="C42" s="40" t="n"/>
      <c r="D42" s="40" t="n"/>
      <c r="E42" s="40" t="n"/>
      <c r="F42" s="40" t="n"/>
      <c r="G42" s="40" t="n"/>
      <c r="H42" s="54" t="n"/>
    </row>
    <row r="43" ht="15" customHeight="1" s="27">
      <c r="A43" s="39">
        <f>IF(B43="","",ROW()-2)</f>
        <v/>
      </c>
      <c r="B43" s="50" t="n"/>
      <c r="C43" s="40" t="n"/>
      <c r="D43" s="40" t="n"/>
      <c r="E43" s="40" t="n"/>
      <c r="F43" s="40" t="n"/>
      <c r="G43" s="40" t="n"/>
      <c r="H43" s="54" t="n"/>
    </row>
    <row r="44" ht="15" customHeight="1" s="27">
      <c r="A44" s="39">
        <f>IF(B44="","",ROW()-2)</f>
        <v/>
      </c>
      <c r="B44" s="50" t="n"/>
      <c r="C44" s="40" t="n"/>
      <c r="D44" s="40" t="n"/>
      <c r="E44" s="40" t="n"/>
      <c r="F44" s="40" t="n"/>
      <c r="G44" s="40" t="n"/>
      <c r="H44" s="54" t="n"/>
    </row>
    <row r="45" ht="15" customHeight="1" s="27">
      <c r="A45" s="39">
        <f>IF(B45="","",ROW()-2)</f>
        <v/>
      </c>
      <c r="B45" s="50" t="n"/>
      <c r="C45" s="40" t="n"/>
      <c r="D45" s="40" t="n"/>
      <c r="E45" s="40" t="n"/>
      <c r="F45" s="40" t="n"/>
      <c r="G45" s="40" t="n"/>
      <c r="H45" s="54" t="n"/>
    </row>
    <row r="46" ht="15" customHeight="1" s="27">
      <c r="A46" s="39">
        <f>IF(B46="","",ROW()-2)</f>
        <v/>
      </c>
      <c r="B46" s="50" t="n"/>
      <c r="C46" s="40" t="n"/>
      <c r="D46" s="40" t="n"/>
      <c r="E46" s="40" t="n"/>
      <c r="F46" s="40" t="n"/>
      <c r="G46" s="40" t="n"/>
      <c r="H46" s="54" t="n"/>
    </row>
    <row r="47" ht="15" customHeight="1" s="27">
      <c r="A47" s="39">
        <f>IF(B47="","",ROW()-2)</f>
        <v/>
      </c>
      <c r="B47" s="50" t="n"/>
      <c r="C47" s="40" t="n"/>
      <c r="D47" s="40" t="n"/>
      <c r="E47" s="40" t="n"/>
      <c r="F47" s="40" t="n"/>
      <c r="G47" s="40" t="n"/>
      <c r="H47" s="54" t="n"/>
    </row>
    <row r="48" ht="15" customHeight="1" s="27">
      <c r="A48" s="39">
        <f>IF(B48="","",ROW()-2)</f>
        <v/>
      </c>
      <c r="B48" s="50" t="n"/>
      <c r="C48" s="40" t="n"/>
      <c r="D48" s="40" t="n"/>
      <c r="E48" s="40" t="n"/>
      <c r="F48" s="40" t="n"/>
      <c r="G48" s="40" t="n"/>
      <c r="H48" s="54" t="n"/>
    </row>
    <row r="49" ht="15" customHeight="1" s="27">
      <c r="A49" s="39">
        <f>IF(B49="","",ROW()-2)</f>
        <v/>
      </c>
      <c r="B49" s="50" t="n"/>
      <c r="C49" s="40" t="n"/>
      <c r="D49" s="40" t="n"/>
      <c r="E49" s="40" t="n"/>
      <c r="F49" s="40" t="n"/>
      <c r="G49" s="40" t="n"/>
      <c r="H49" s="54" t="n"/>
    </row>
    <row r="50" ht="15" customHeight="1" s="27">
      <c r="A50" s="39">
        <f>IF(B50="","",ROW()-2)</f>
        <v/>
      </c>
      <c r="B50" s="50" t="n"/>
      <c r="C50" s="40" t="n"/>
      <c r="D50" s="40" t="n"/>
      <c r="E50" s="40" t="n"/>
      <c r="F50" s="40" t="n"/>
      <c r="G50" s="40" t="n"/>
      <c r="H50" s="54" t="n"/>
    </row>
    <row r="51" ht="15" customHeight="1" s="27">
      <c r="A51" s="39">
        <f>IF(B51="","",ROW()-2)</f>
        <v/>
      </c>
      <c r="B51" s="50" t="n"/>
      <c r="C51" s="40" t="n"/>
      <c r="D51" s="40" t="n"/>
      <c r="E51" s="40" t="n"/>
      <c r="F51" s="40" t="n"/>
      <c r="G51" s="40" t="n"/>
      <c r="H51" s="54" t="n"/>
    </row>
    <row r="52" ht="15" customHeight="1" s="27">
      <c r="A52" s="39">
        <f>IF(B52="","",ROW()-2)</f>
        <v/>
      </c>
      <c r="B52" s="50" t="n"/>
      <c r="C52" s="40" t="n"/>
      <c r="D52" s="40" t="n"/>
      <c r="E52" s="40" t="n"/>
      <c r="F52" s="40" t="n"/>
      <c r="G52" s="40" t="n"/>
      <c r="H52" s="54" t="n"/>
    </row>
    <row r="53" ht="15" customHeight="1" s="27">
      <c r="A53" s="39">
        <f>IF(B53="","",ROW()-2)</f>
        <v/>
      </c>
      <c r="B53" s="50" t="n"/>
      <c r="C53" s="40" t="n"/>
      <c r="D53" s="40" t="n"/>
      <c r="E53" s="40" t="n"/>
      <c r="F53" s="40" t="n"/>
      <c r="G53" s="40" t="n"/>
      <c r="H53" s="54" t="n"/>
    </row>
    <row r="54" ht="15" customHeight="1" s="27">
      <c r="A54" s="39">
        <f>IF(B54="","",ROW()-2)</f>
        <v/>
      </c>
      <c r="B54" s="50" t="n"/>
      <c r="C54" s="40" t="n"/>
      <c r="D54" s="40" t="n"/>
      <c r="E54" s="40" t="n"/>
      <c r="F54" s="40" t="n"/>
      <c r="G54" s="40" t="n"/>
      <c r="H54" s="54" t="n"/>
    </row>
    <row r="55" ht="15" customHeight="1" s="27">
      <c r="A55" s="39">
        <f>IF(B55="","",ROW()-2)</f>
        <v/>
      </c>
      <c r="B55" s="50" t="n"/>
      <c r="C55" s="40" t="n"/>
      <c r="D55" s="40" t="n"/>
      <c r="E55" s="40" t="n"/>
      <c r="F55" s="40" t="n"/>
      <c r="G55" s="40" t="n"/>
      <c r="H55" s="54" t="n"/>
    </row>
    <row r="56" ht="15" customHeight="1" s="27">
      <c r="A56" s="39">
        <f>IF(B56="","",ROW()-2)</f>
        <v/>
      </c>
      <c r="B56" s="50" t="n"/>
      <c r="C56" s="40" t="n"/>
      <c r="D56" s="40" t="n"/>
      <c r="E56" s="40" t="n"/>
      <c r="F56" s="40" t="n"/>
      <c r="G56" s="40" t="n"/>
      <c r="H56" s="54" t="n"/>
    </row>
    <row r="57" ht="15" customHeight="1" s="27">
      <c r="A57" s="39">
        <f>IF(B57="","",ROW()-2)</f>
        <v/>
      </c>
      <c r="B57" s="50" t="n"/>
      <c r="C57" s="40" t="n"/>
      <c r="D57" s="40" t="n"/>
      <c r="E57" s="40" t="n"/>
      <c r="F57" s="40" t="n"/>
      <c r="G57" s="40" t="n"/>
      <c r="H57" s="54" t="n"/>
    </row>
    <row r="58" ht="15" customHeight="1" s="27">
      <c r="A58" s="39">
        <f>IF(B58="","",ROW()-2)</f>
        <v/>
      </c>
      <c r="B58" s="50" t="n"/>
      <c r="C58" s="40" t="n"/>
      <c r="D58" s="40" t="n"/>
      <c r="E58" s="40" t="n"/>
      <c r="F58" s="40" t="n"/>
      <c r="G58" s="40" t="n"/>
      <c r="H58" s="54" t="n"/>
    </row>
    <row r="59" ht="15" customHeight="1" s="27">
      <c r="A59" s="39">
        <f>IF(B59="","",ROW()-2)</f>
        <v/>
      </c>
      <c r="B59" s="50" t="n"/>
      <c r="C59" s="40" t="n"/>
      <c r="D59" s="40" t="n"/>
      <c r="E59" s="40" t="n"/>
      <c r="F59" s="40" t="n"/>
      <c r="G59" s="40" t="n"/>
      <c r="H59" s="54" t="n"/>
    </row>
    <row r="60" ht="15" customHeight="1" s="27">
      <c r="A60" s="39">
        <f>IF(B60="","",ROW()-2)</f>
        <v/>
      </c>
      <c r="B60" s="50" t="n"/>
      <c r="C60" s="40" t="n"/>
      <c r="D60" s="40" t="n"/>
      <c r="E60" s="40" t="n"/>
      <c r="F60" s="40" t="n"/>
      <c r="G60" s="40" t="n"/>
      <c r="H60" s="54" t="n"/>
    </row>
    <row r="61" ht="15" customHeight="1" s="27">
      <c r="A61" s="39">
        <f>IF(B61="","",ROW()-2)</f>
        <v/>
      </c>
      <c r="B61" s="50" t="n"/>
      <c r="C61" s="40" t="n"/>
      <c r="D61" s="40" t="n"/>
      <c r="E61" s="40" t="n"/>
      <c r="F61" s="40" t="n"/>
      <c r="G61" s="40" t="n"/>
      <c r="H61" s="54" t="n"/>
    </row>
    <row r="62" ht="15" customHeight="1" s="27">
      <c r="A62" s="39">
        <f>IF(B62="","",ROW()-2)</f>
        <v/>
      </c>
      <c r="B62" s="50" t="n"/>
      <c r="C62" s="40" t="n"/>
      <c r="D62" s="40" t="n"/>
      <c r="E62" s="40" t="n"/>
      <c r="F62" s="40" t="n"/>
      <c r="G62" s="40" t="n"/>
      <c r="H62" s="54" t="n"/>
    </row>
    <row r="63" ht="15" customHeight="1" s="27">
      <c r="A63" s="39">
        <f>IF(B63="","",ROW()-2)</f>
        <v/>
      </c>
      <c r="B63" s="50" t="n"/>
      <c r="C63" s="40" t="n"/>
      <c r="D63" s="40" t="n"/>
      <c r="E63" s="40" t="n"/>
      <c r="F63" s="40" t="n"/>
      <c r="G63" s="40" t="n"/>
      <c r="H63" s="54" t="n"/>
    </row>
    <row r="64" ht="15" customHeight="1" s="27">
      <c r="A64" s="39">
        <f>IF(B64="","",ROW()-2)</f>
        <v/>
      </c>
      <c r="B64" s="50" t="n"/>
      <c r="C64" s="40" t="n"/>
      <c r="D64" s="40" t="n"/>
      <c r="E64" s="40" t="n"/>
      <c r="F64" s="40" t="n"/>
      <c r="G64" s="40" t="n"/>
      <c r="H64" s="54" t="n"/>
    </row>
    <row r="65" ht="15" customHeight="1" s="27">
      <c r="A65" s="39">
        <f>IF(B65="","",ROW()-2)</f>
        <v/>
      </c>
      <c r="B65" s="50" t="n"/>
      <c r="C65" s="40" t="n"/>
      <c r="D65" s="40" t="n"/>
      <c r="E65" s="40" t="n"/>
      <c r="F65" s="40" t="n"/>
      <c r="G65" s="40" t="n"/>
      <c r="H65" s="54" t="n"/>
    </row>
    <row r="66" ht="15" customHeight="1" s="27">
      <c r="A66" s="39">
        <f>IF(B66="","",ROW()-2)</f>
        <v/>
      </c>
      <c r="B66" s="50" t="n"/>
      <c r="C66" s="40" t="n"/>
      <c r="D66" s="40" t="n"/>
      <c r="E66" s="40" t="n"/>
      <c r="F66" s="40" t="n"/>
      <c r="G66" s="40" t="n"/>
      <c r="H66" s="54" t="n"/>
    </row>
    <row r="67" ht="15" customHeight="1" s="27">
      <c r="A67" s="39">
        <f>IF(B67="","",ROW()-2)</f>
        <v/>
      </c>
      <c r="B67" s="50" t="n"/>
      <c r="C67" s="40" t="n"/>
      <c r="D67" s="40" t="n"/>
      <c r="E67" s="40" t="n"/>
      <c r="F67" s="40" t="n"/>
      <c r="G67" s="40" t="n"/>
      <c r="H67" s="54" t="n"/>
    </row>
    <row r="68" ht="15" customHeight="1" s="27">
      <c r="A68" s="39">
        <f>IF(B68="","",ROW()-2)</f>
        <v/>
      </c>
      <c r="B68" s="50" t="n"/>
      <c r="C68" s="40" t="n"/>
      <c r="D68" s="40" t="n"/>
      <c r="E68" s="40" t="n"/>
      <c r="F68" s="40" t="n"/>
      <c r="G68" s="40" t="n"/>
      <c r="H68" s="54" t="n"/>
    </row>
    <row r="69" ht="15" customHeight="1" s="27">
      <c r="A69" s="39">
        <f>IF(B69="","",ROW()-2)</f>
        <v/>
      </c>
      <c r="B69" s="50" t="n"/>
      <c r="C69" s="40" t="n"/>
      <c r="D69" s="40" t="n"/>
      <c r="E69" s="40" t="n"/>
      <c r="F69" s="40" t="n"/>
      <c r="G69" s="40" t="n"/>
      <c r="H69" s="54" t="n"/>
    </row>
    <row r="70" ht="15" customHeight="1" s="27">
      <c r="A70" s="39">
        <f>IF(B70="","",ROW()-2)</f>
        <v/>
      </c>
      <c r="B70" s="50" t="n"/>
      <c r="C70" s="40" t="n"/>
      <c r="D70" s="40" t="n"/>
      <c r="E70" s="40" t="n"/>
      <c r="F70" s="40" t="n"/>
      <c r="G70" s="40" t="n"/>
      <c r="H70" s="54" t="n"/>
    </row>
    <row r="71" ht="15" customHeight="1" s="27">
      <c r="A71" s="39">
        <f>IF(B71="","",ROW()-2)</f>
        <v/>
      </c>
      <c r="B71" s="50" t="n"/>
      <c r="C71" s="40" t="n"/>
      <c r="D71" s="40" t="n"/>
      <c r="E71" s="40" t="n"/>
      <c r="F71" s="40" t="n"/>
      <c r="G71" s="40" t="n"/>
      <c r="H71" s="54" t="n"/>
    </row>
    <row r="72" ht="15" customHeight="1" s="27">
      <c r="A72" s="39">
        <f>IF(B72="","",ROW()-2)</f>
        <v/>
      </c>
      <c r="B72" s="50" t="n"/>
      <c r="C72" s="40" t="n"/>
      <c r="D72" s="40" t="n"/>
      <c r="E72" s="40" t="n"/>
      <c r="F72" s="40" t="n"/>
      <c r="G72" s="40" t="n"/>
      <c r="H72" s="54" t="n"/>
    </row>
    <row r="73" ht="15" customHeight="1" s="27">
      <c r="A73" s="39">
        <f>IF(B73="","",ROW()-2)</f>
        <v/>
      </c>
      <c r="B73" s="50" t="n"/>
      <c r="C73" s="40" t="n"/>
      <c r="D73" s="40" t="n"/>
      <c r="E73" s="40" t="n"/>
      <c r="F73" s="40" t="n"/>
      <c r="G73" s="40" t="n"/>
      <c r="H73" s="54" t="n"/>
    </row>
    <row r="74" ht="15" customHeight="1" s="27">
      <c r="A74" s="39">
        <f>IF(B74="","",ROW()-2)</f>
        <v/>
      </c>
      <c r="B74" s="50" t="n"/>
      <c r="C74" s="40" t="n"/>
      <c r="D74" s="40" t="n"/>
      <c r="E74" s="40" t="n"/>
      <c r="F74" s="40" t="n"/>
      <c r="G74" s="40" t="n"/>
      <c r="H74" s="54" t="n"/>
    </row>
    <row r="75" ht="15" customHeight="1" s="27">
      <c r="A75" s="39">
        <f>IF(B75="","",ROW()-2)</f>
        <v/>
      </c>
      <c r="B75" s="50" t="n"/>
      <c r="C75" s="40" t="n"/>
      <c r="D75" s="40" t="n"/>
      <c r="E75" s="40" t="n"/>
      <c r="F75" s="40" t="n"/>
      <c r="G75" s="40" t="n"/>
      <c r="H75" s="54" t="n"/>
    </row>
    <row r="76" ht="15" customHeight="1" s="27">
      <c r="A76" s="39">
        <f>IF(B76="","",ROW()-2)</f>
        <v/>
      </c>
      <c r="B76" s="50" t="n"/>
      <c r="C76" s="40" t="n"/>
      <c r="D76" s="40" t="n"/>
      <c r="E76" s="40" t="n"/>
      <c r="F76" s="40" t="n"/>
      <c r="G76" s="40" t="n"/>
      <c r="H76" s="54" t="n"/>
    </row>
    <row r="77" ht="15" customHeight="1" s="27">
      <c r="A77" s="39">
        <f>IF(B77="","",ROW()-2)</f>
        <v/>
      </c>
      <c r="B77" s="50" t="n"/>
      <c r="C77" s="40" t="n"/>
      <c r="D77" s="40" t="n"/>
      <c r="E77" s="40" t="n"/>
      <c r="F77" s="40" t="n"/>
      <c r="G77" s="40" t="n"/>
      <c r="H77" s="54" t="n"/>
    </row>
    <row r="78" ht="15" customHeight="1" s="27">
      <c r="A78" s="39">
        <f>IF(B78="","",ROW()-2)</f>
        <v/>
      </c>
      <c r="B78" s="50" t="n"/>
      <c r="C78" s="40" t="n"/>
      <c r="D78" s="40" t="n"/>
      <c r="E78" s="40" t="n"/>
      <c r="F78" s="40" t="n"/>
      <c r="G78" s="40" t="n"/>
      <c r="H78" s="54" t="n"/>
    </row>
    <row r="79" ht="15" customHeight="1" s="27">
      <c r="A79" s="39">
        <f>IF(B79="","",ROW()-2)</f>
        <v/>
      </c>
      <c r="B79" s="50" t="n"/>
      <c r="C79" s="40" t="n"/>
      <c r="D79" s="40" t="n"/>
      <c r="E79" s="40" t="n"/>
      <c r="F79" s="40" t="n"/>
      <c r="G79" s="40" t="n"/>
      <c r="H79" s="54" t="n"/>
    </row>
    <row r="80" ht="15" customHeight="1" s="27">
      <c r="A80" s="39">
        <f>IF(B80="","",ROW()-2)</f>
        <v/>
      </c>
      <c r="B80" s="50" t="n"/>
      <c r="C80" s="40" t="n"/>
      <c r="D80" s="40" t="n"/>
      <c r="E80" s="40" t="n"/>
      <c r="F80" s="40" t="n"/>
      <c r="G80" s="40" t="n"/>
      <c r="H80" s="54" t="n"/>
    </row>
    <row r="81" ht="15" customHeight="1" s="27">
      <c r="A81" s="39">
        <f>IF(B81="","",ROW()-2)</f>
        <v/>
      </c>
      <c r="B81" s="50" t="n"/>
      <c r="C81" s="40" t="n"/>
      <c r="D81" s="40" t="n"/>
      <c r="E81" s="40" t="n"/>
      <c r="F81" s="40" t="n"/>
      <c r="G81" s="40" t="n"/>
      <c r="H81" s="54" t="n"/>
    </row>
    <row r="82" ht="15" customHeight="1" s="27">
      <c r="A82" s="39">
        <f>IF(B82="","",ROW()-2)</f>
        <v/>
      </c>
      <c r="B82" s="50" t="n"/>
      <c r="C82" s="40" t="n"/>
      <c r="D82" s="40" t="n"/>
      <c r="E82" s="40" t="n"/>
      <c r="F82" s="40" t="n"/>
      <c r="G82" s="40" t="n"/>
      <c r="H82" s="54" t="n"/>
    </row>
    <row r="83" ht="15" customHeight="1" s="27">
      <c r="A83" s="39">
        <f>IF(B83="","",ROW()-2)</f>
        <v/>
      </c>
      <c r="B83" s="50" t="n"/>
      <c r="C83" s="40" t="n"/>
      <c r="D83" s="40" t="n"/>
      <c r="E83" s="40" t="n"/>
      <c r="F83" s="40" t="n"/>
      <c r="G83" s="40" t="n"/>
      <c r="H83" s="54" t="n"/>
    </row>
    <row r="84" ht="15" customHeight="1" s="27">
      <c r="A84" s="39">
        <f>IF(B84="","",ROW()-2)</f>
        <v/>
      </c>
      <c r="B84" s="50" t="n"/>
      <c r="C84" s="40" t="n"/>
      <c r="D84" s="40" t="n"/>
      <c r="E84" s="40" t="n"/>
      <c r="F84" s="40" t="n"/>
      <c r="G84" s="40" t="n"/>
      <c r="H84" s="54" t="n"/>
    </row>
    <row r="85" ht="15" customHeight="1" s="27">
      <c r="A85" s="39">
        <f>IF(B85="","",ROW()-2)</f>
        <v/>
      </c>
      <c r="B85" s="50" t="n"/>
      <c r="C85" s="40" t="n"/>
      <c r="D85" s="40" t="n"/>
      <c r="E85" s="40" t="n"/>
      <c r="F85" s="40" t="n"/>
      <c r="G85" s="40" t="n"/>
      <c r="H85" s="54" t="n"/>
    </row>
    <row r="86" ht="15" customHeight="1" s="27">
      <c r="A86" s="39">
        <f>IF(B86="","",ROW()-2)</f>
        <v/>
      </c>
      <c r="B86" s="50" t="n"/>
      <c r="C86" s="40" t="n"/>
      <c r="D86" s="40" t="n"/>
      <c r="E86" s="40" t="n"/>
      <c r="F86" s="40" t="n"/>
      <c r="G86" s="40" t="n"/>
      <c r="H86" s="54" t="n"/>
    </row>
    <row r="87" ht="15" customHeight="1" s="27">
      <c r="A87" s="39">
        <f>IF(B87="","",ROW()-2)</f>
        <v/>
      </c>
      <c r="B87" s="50" t="n"/>
      <c r="C87" s="40" t="n"/>
      <c r="D87" s="40" t="n"/>
      <c r="E87" s="40" t="n"/>
      <c r="F87" s="40" t="n"/>
      <c r="G87" s="40" t="n"/>
      <c r="H87" s="54" t="n"/>
    </row>
    <row r="88" ht="15" customHeight="1" s="27">
      <c r="A88" s="39">
        <f>IF(B88="","",ROW()-2)</f>
        <v/>
      </c>
      <c r="B88" s="50" t="n"/>
      <c r="C88" s="40" t="n"/>
      <c r="D88" s="40" t="n"/>
      <c r="E88" s="40" t="n"/>
      <c r="F88" s="40" t="n"/>
      <c r="G88" s="40" t="n"/>
      <c r="H88" s="54" t="n"/>
    </row>
    <row r="89" ht="15" customHeight="1" s="27">
      <c r="A89" s="39">
        <f>IF(B89="","",ROW()-2)</f>
        <v/>
      </c>
      <c r="B89" s="50" t="n"/>
      <c r="C89" s="40" t="n"/>
      <c r="D89" s="40" t="n"/>
      <c r="E89" s="40" t="n"/>
      <c r="F89" s="40" t="n"/>
      <c r="G89" s="40" t="n"/>
      <c r="H89" s="54" t="n"/>
    </row>
    <row r="90" ht="15" customHeight="1" s="27">
      <c r="A90" s="39">
        <f>IF(B90="","",ROW()-2)</f>
        <v/>
      </c>
      <c r="B90" s="50" t="n"/>
      <c r="C90" s="40" t="n"/>
      <c r="D90" s="40" t="n"/>
      <c r="E90" s="40" t="n"/>
      <c r="F90" s="40" t="n"/>
      <c r="G90" s="40" t="n"/>
      <c r="H90" s="54" t="n"/>
    </row>
    <row r="91" ht="15" customHeight="1" s="27">
      <c r="A91" s="39">
        <f>IF(B91="","",ROW()-2)</f>
        <v/>
      </c>
      <c r="B91" s="50" t="n"/>
      <c r="C91" s="40" t="n"/>
      <c r="D91" s="40" t="n"/>
      <c r="E91" s="40" t="n"/>
      <c r="F91" s="40" t="n"/>
      <c r="G91" s="40" t="n"/>
      <c r="H91" s="54" t="n"/>
    </row>
    <row r="92" ht="15" customHeight="1" s="27">
      <c r="A92" s="39">
        <f>IF(B92="","",ROW()-2)</f>
        <v/>
      </c>
      <c r="B92" s="50" t="n"/>
      <c r="C92" s="40" t="n"/>
      <c r="D92" s="40" t="n"/>
      <c r="E92" s="40" t="n"/>
      <c r="F92" s="40" t="n"/>
      <c r="G92" s="40" t="n"/>
      <c r="H92" s="54" t="n"/>
    </row>
    <row r="93" ht="15" customHeight="1" s="27">
      <c r="A93" s="39">
        <f>IF(B93="","",ROW()-2)</f>
        <v/>
      </c>
      <c r="B93" s="50" t="n"/>
      <c r="C93" s="40" t="n"/>
      <c r="D93" s="40" t="n"/>
      <c r="E93" s="40" t="n"/>
      <c r="F93" s="40" t="n"/>
      <c r="G93" s="40" t="n"/>
      <c r="H93" s="54" t="n"/>
    </row>
    <row r="94" ht="15" customHeight="1" s="27">
      <c r="A94" s="39">
        <f>IF(B94="","",ROW()-2)</f>
        <v/>
      </c>
      <c r="B94" s="50" t="n"/>
      <c r="C94" s="40" t="n"/>
      <c r="D94" s="40" t="n"/>
      <c r="E94" s="40" t="n"/>
      <c r="F94" s="40" t="n"/>
      <c r="G94" s="40" t="n"/>
      <c r="H94" s="54" t="n"/>
    </row>
    <row r="95" ht="15" customHeight="1" s="27">
      <c r="A95" s="39">
        <f>IF(B95="","",ROW()-2)</f>
        <v/>
      </c>
      <c r="B95" s="50" t="n"/>
      <c r="C95" s="40" t="n"/>
      <c r="D95" s="40" t="n"/>
      <c r="E95" s="40" t="n"/>
      <c r="F95" s="40" t="n"/>
      <c r="G95" s="40" t="n"/>
      <c r="H95" s="54" t="n"/>
    </row>
    <row r="96" ht="15" customHeight="1" s="27">
      <c r="A96" s="39">
        <f>IF(B96="","",ROW()-2)</f>
        <v/>
      </c>
      <c r="B96" s="50" t="n"/>
      <c r="C96" s="40" t="n"/>
      <c r="D96" s="40" t="n"/>
      <c r="E96" s="40" t="n"/>
      <c r="F96" s="40" t="n"/>
      <c r="G96" s="40" t="n"/>
      <c r="H96" s="54" t="n"/>
    </row>
    <row r="97" ht="15" customHeight="1" s="27">
      <c r="A97" s="39">
        <f>IF(B97="","",ROW()-2)</f>
        <v/>
      </c>
      <c r="B97" s="50" t="n"/>
      <c r="C97" s="40" t="n"/>
      <c r="D97" s="40" t="n"/>
      <c r="E97" s="40" t="n"/>
      <c r="F97" s="40" t="n"/>
      <c r="G97" s="40" t="n"/>
      <c r="H97" s="54" t="n"/>
    </row>
    <row r="98" ht="15" customHeight="1" s="27">
      <c r="A98" s="39">
        <f>IF(B98="","",ROW()-2)</f>
        <v/>
      </c>
      <c r="B98" s="50" t="n"/>
      <c r="C98" s="40" t="n"/>
      <c r="D98" s="40" t="n"/>
      <c r="E98" s="40" t="n"/>
      <c r="F98" s="40" t="n"/>
      <c r="G98" s="40" t="n"/>
      <c r="H98" s="54" t="n"/>
    </row>
    <row r="99" ht="15" customHeight="1" s="27">
      <c r="A99" s="39">
        <f>IF(B99="","",ROW()-2)</f>
        <v/>
      </c>
      <c r="B99" s="50" t="n"/>
      <c r="C99" s="40" t="n"/>
      <c r="D99" s="40" t="n"/>
      <c r="E99" s="40" t="n"/>
      <c r="F99" s="40" t="n"/>
      <c r="G99" s="40" t="n"/>
      <c r="H99" s="54" t="n"/>
    </row>
    <row r="100" ht="15" customHeight="1" s="27">
      <c r="A100" s="39">
        <f>IF(B100="","",ROW()-2)</f>
        <v/>
      </c>
      <c r="B100" s="50" t="n"/>
      <c r="C100" s="40" t="n"/>
      <c r="D100" s="40" t="n"/>
      <c r="E100" s="40" t="n"/>
      <c r="F100" s="40" t="n"/>
      <c r="G100" s="40" t="n"/>
      <c r="H100" s="54" t="n"/>
    </row>
    <row r="101" ht="15" customHeight="1" s="27">
      <c r="A101" s="39">
        <f>IF(B101="","",ROW()-2)</f>
        <v/>
      </c>
      <c r="B101" s="50" t="n"/>
      <c r="C101" s="40" t="n"/>
      <c r="D101" s="40" t="n"/>
      <c r="E101" s="40" t="n"/>
      <c r="F101" s="40" t="n"/>
      <c r="G101" s="40" t="n"/>
      <c r="H101" s="54" t="n"/>
    </row>
    <row r="102" ht="15" customHeight="1" s="27">
      <c r="A102" s="39">
        <f>IF(B102="","",ROW()-2)</f>
        <v/>
      </c>
      <c r="B102" s="50" t="n"/>
      <c r="C102" s="40" t="n"/>
      <c r="D102" s="40" t="n"/>
      <c r="E102" s="40" t="n"/>
      <c r="F102" s="40" t="n"/>
      <c r="G102" s="40" t="n"/>
      <c r="H102" s="54" t="n"/>
    </row>
    <row r="103" ht="15" customHeight="1" s="27">
      <c r="A103" s="39">
        <f>IF(B103="","",ROW()-2)</f>
        <v/>
      </c>
      <c r="B103" s="50" t="n"/>
      <c r="C103" s="40" t="n"/>
      <c r="D103" s="40" t="n"/>
      <c r="E103" s="40" t="n"/>
      <c r="F103" s="40" t="n"/>
      <c r="G103" s="40" t="n"/>
      <c r="H103" s="54" t="n"/>
    </row>
    <row r="104" ht="15" customHeight="1" s="27">
      <c r="A104" s="39">
        <f>IF(B104="","",ROW()-2)</f>
        <v/>
      </c>
      <c r="B104" s="50" t="n"/>
      <c r="C104" s="40" t="n"/>
      <c r="D104" s="40" t="n"/>
      <c r="E104" s="40" t="n"/>
      <c r="F104" s="40" t="n"/>
      <c r="G104" s="40" t="n"/>
      <c r="H104" s="54" t="n"/>
    </row>
    <row r="105" ht="15" customHeight="1" s="27">
      <c r="A105" s="39">
        <f>IF(B105="","",ROW()-2)</f>
        <v/>
      </c>
      <c r="B105" s="50" t="n"/>
      <c r="C105" s="40" t="n"/>
      <c r="D105" s="40" t="n"/>
      <c r="E105" s="40" t="n"/>
      <c r="F105" s="40" t="n"/>
      <c r="G105" s="40" t="n"/>
      <c r="H105" s="54" t="n"/>
    </row>
    <row r="106" ht="15" customHeight="1" s="27">
      <c r="A106" s="39">
        <f>IF(B106="","",ROW()-2)</f>
        <v/>
      </c>
      <c r="B106" s="50" t="n"/>
      <c r="C106" s="40" t="n"/>
      <c r="D106" s="40" t="n"/>
      <c r="E106" s="40" t="n"/>
      <c r="F106" s="40" t="n"/>
      <c r="G106" s="40" t="n"/>
      <c r="H106" s="54" t="n"/>
    </row>
    <row r="107" ht="15" customHeight="1" s="27">
      <c r="A107" s="39">
        <f>IF(B107="","",ROW()-2)</f>
        <v/>
      </c>
      <c r="B107" s="50" t="n"/>
      <c r="C107" s="40" t="n"/>
      <c r="D107" s="40" t="n"/>
      <c r="E107" s="40" t="n"/>
      <c r="F107" s="40" t="n"/>
      <c r="G107" s="40" t="n"/>
      <c r="H107" s="54" t="n"/>
    </row>
    <row r="108" ht="15" customHeight="1" s="27">
      <c r="A108" s="39">
        <f>IF(B108="","",ROW()-2)</f>
        <v/>
      </c>
      <c r="B108" s="50" t="n"/>
      <c r="C108" s="40" t="n"/>
      <c r="D108" s="40" t="n"/>
      <c r="E108" s="40" t="n"/>
      <c r="F108" s="40" t="n"/>
      <c r="G108" s="40" t="n"/>
      <c r="H108" s="54" t="n"/>
    </row>
    <row r="109" ht="15" customHeight="1" s="27">
      <c r="A109" s="39">
        <f>IF(B109="","",ROW()-2)</f>
        <v/>
      </c>
      <c r="B109" s="50" t="n"/>
      <c r="C109" s="40" t="n"/>
      <c r="D109" s="40" t="n"/>
      <c r="E109" s="40" t="n"/>
      <c r="F109" s="40" t="n"/>
      <c r="G109" s="40" t="n"/>
      <c r="H109" s="54" t="n"/>
    </row>
    <row r="110" ht="15" customHeight="1" s="27">
      <c r="A110" s="39">
        <f>IF(B110="","",ROW()-2)</f>
        <v/>
      </c>
      <c r="B110" s="50" t="n"/>
      <c r="C110" s="40" t="n"/>
      <c r="D110" s="40" t="n"/>
      <c r="E110" s="40" t="n"/>
      <c r="F110" s="40" t="n"/>
      <c r="G110" s="40" t="n"/>
      <c r="H110" s="54" t="n"/>
    </row>
    <row r="111" ht="15" customHeight="1" s="27">
      <c r="A111" s="39">
        <f>IF(B111="","",ROW()-2)</f>
        <v/>
      </c>
      <c r="B111" s="50" t="n"/>
      <c r="C111" s="40" t="n"/>
      <c r="D111" s="40" t="n"/>
      <c r="E111" s="40" t="n"/>
      <c r="F111" s="40" t="n"/>
      <c r="G111" s="40" t="n"/>
      <c r="H111" s="54" t="n"/>
    </row>
    <row r="112" ht="15" customHeight="1" s="27">
      <c r="A112" s="39">
        <f>IF(B112="","",ROW()-2)</f>
        <v/>
      </c>
      <c r="B112" s="50" t="n"/>
      <c r="C112" s="40" t="n"/>
      <c r="D112" s="40" t="n"/>
      <c r="E112" s="40" t="n"/>
      <c r="F112" s="40" t="n"/>
      <c r="G112" s="40" t="n"/>
      <c r="H112" s="54" t="n"/>
    </row>
    <row r="113" ht="15" customHeight="1" s="27">
      <c r="A113" s="39">
        <f>IF(B113="","",ROW()-2)</f>
        <v/>
      </c>
      <c r="B113" s="50" t="n"/>
      <c r="C113" s="40" t="n"/>
      <c r="D113" s="40" t="n"/>
      <c r="E113" s="40" t="n"/>
      <c r="F113" s="40" t="n"/>
      <c r="G113" s="40" t="n"/>
      <c r="H113" s="54" t="n"/>
    </row>
    <row r="114" ht="15" customHeight="1" s="27">
      <c r="A114" s="39">
        <f>IF(B114="","",ROW()-2)</f>
        <v/>
      </c>
      <c r="B114" s="50" t="n"/>
      <c r="C114" s="40" t="n"/>
      <c r="D114" s="40" t="n"/>
      <c r="E114" s="40" t="n"/>
      <c r="F114" s="40" t="n"/>
      <c r="G114" s="40" t="n"/>
      <c r="H114" s="54" t="n"/>
    </row>
    <row r="115" ht="15" customHeight="1" s="27">
      <c r="A115" s="39">
        <f>IF(B115="","",ROW()-2)</f>
        <v/>
      </c>
      <c r="B115" s="50" t="n"/>
      <c r="C115" s="40" t="n"/>
      <c r="D115" s="40" t="n"/>
      <c r="E115" s="40" t="n"/>
      <c r="F115" s="40" t="n"/>
      <c r="G115" s="40" t="n"/>
      <c r="H115" s="54" t="n"/>
    </row>
    <row r="116" ht="15" customHeight="1" s="27">
      <c r="A116" s="39">
        <f>IF(B116="","",ROW()-2)</f>
        <v/>
      </c>
      <c r="B116" s="50" t="n"/>
      <c r="C116" s="40" t="n"/>
      <c r="D116" s="40" t="n"/>
      <c r="E116" s="40" t="n"/>
      <c r="F116" s="40" t="n"/>
      <c r="G116" s="40" t="n"/>
      <c r="H116" s="54" t="n"/>
    </row>
    <row r="117" ht="15" customHeight="1" s="27">
      <c r="A117" s="39">
        <f>IF(B117="","",ROW()-2)</f>
        <v/>
      </c>
      <c r="B117" s="50" t="n"/>
      <c r="C117" s="40" t="n"/>
      <c r="D117" s="40" t="n"/>
      <c r="E117" s="40" t="n"/>
      <c r="F117" s="40" t="n"/>
      <c r="G117" s="40" t="n"/>
      <c r="H117" s="54" t="n"/>
    </row>
    <row r="118" ht="15" customHeight="1" s="27">
      <c r="A118" s="39">
        <f>IF(B118="","",ROW()-2)</f>
        <v/>
      </c>
      <c r="B118" s="50" t="n"/>
      <c r="C118" s="40" t="n"/>
      <c r="D118" s="40" t="n"/>
      <c r="E118" s="40" t="n"/>
      <c r="F118" s="40" t="n"/>
      <c r="G118" s="40" t="n"/>
      <c r="H118" s="54" t="n"/>
    </row>
    <row r="119" ht="15" customHeight="1" s="27">
      <c r="A119" s="39">
        <f>IF(B119="","",ROW()-2)</f>
        <v/>
      </c>
      <c r="B119" s="50" t="n"/>
      <c r="C119" s="40" t="n"/>
      <c r="D119" s="40" t="n"/>
      <c r="E119" s="40" t="n"/>
      <c r="F119" s="40" t="n"/>
      <c r="G119" s="40" t="n"/>
      <c r="H119" s="54" t="n"/>
    </row>
    <row r="120" ht="15" customHeight="1" s="27">
      <c r="A120" s="39">
        <f>IF(B120="","",ROW()-2)</f>
        <v/>
      </c>
      <c r="B120" s="50" t="n"/>
      <c r="C120" s="40" t="n"/>
      <c r="D120" s="40" t="n"/>
      <c r="E120" s="40" t="n"/>
      <c r="F120" s="40" t="n"/>
      <c r="G120" s="40" t="n"/>
      <c r="H120" s="54" t="n"/>
    </row>
    <row r="121" ht="15" customHeight="1" s="27">
      <c r="A121" s="39">
        <f>IF(B121="","",ROW()-2)</f>
        <v/>
      </c>
      <c r="B121" s="50" t="n"/>
      <c r="C121" s="40" t="n"/>
      <c r="D121" s="40" t="n"/>
      <c r="E121" s="40" t="n"/>
      <c r="F121" s="40" t="n"/>
      <c r="G121" s="40" t="n"/>
      <c r="H121" s="54" t="n"/>
    </row>
    <row r="122" ht="15" customHeight="1" s="27">
      <c r="A122" s="39">
        <f>IF(B122="","",ROW()-2)</f>
        <v/>
      </c>
      <c r="B122" s="50" t="n"/>
      <c r="C122" s="40" t="n"/>
      <c r="D122" s="40" t="n"/>
      <c r="E122" s="40" t="n"/>
      <c r="F122" s="40" t="n"/>
      <c r="G122" s="40" t="n"/>
      <c r="H122" s="54" t="n"/>
    </row>
    <row r="123" ht="15" customHeight="1" s="27">
      <c r="A123" s="39">
        <f>IF(B123="","",ROW()-2)</f>
        <v/>
      </c>
      <c r="B123" s="50" t="n"/>
      <c r="C123" s="40" t="n"/>
      <c r="D123" s="40" t="n"/>
      <c r="E123" s="40" t="n"/>
      <c r="F123" s="40" t="n"/>
      <c r="G123" s="40" t="n"/>
      <c r="H123" s="54" t="n"/>
    </row>
    <row r="124" ht="15" customHeight="1" s="27">
      <c r="A124" s="39">
        <f>IF(B124="","",ROW()-2)</f>
        <v/>
      </c>
      <c r="B124" s="50" t="n"/>
      <c r="C124" s="40" t="n"/>
      <c r="D124" s="40" t="n"/>
      <c r="E124" s="40" t="n"/>
      <c r="F124" s="40" t="n"/>
      <c r="G124" s="40" t="n"/>
      <c r="H124" s="54" t="n"/>
    </row>
    <row r="125" ht="15" customHeight="1" s="27">
      <c r="A125" s="39">
        <f>IF(B125="","",ROW()-2)</f>
        <v/>
      </c>
      <c r="B125" s="50" t="n"/>
      <c r="C125" s="40" t="n"/>
      <c r="D125" s="40" t="n"/>
      <c r="E125" s="40" t="n"/>
      <c r="F125" s="40" t="n"/>
      <c r="G125" s="40" t="n"/>
      <c r="H125" s="54" t="n"/>
    </row>
    <row r="126" ht="15" customHeight="1" s="27">
      <c r="A126" s="39">
        <f>IF(B126="","",ROW()-2)</f>
        <v/>
      </c>
      <c r="B126" s="50" t="n"/>
      <c r="C126" s="40" t="n"/>
      <c r="D126" s="40" t="n"/>
      <c r="E126" s="40" t="n"/>
      <c r="F126" s="40" t="n"/>
      <c r="G126" s="40" t="n"/>
      <c r="H126" s="54" t="n"/>
    </row>
    <row r="127" ht="15" customHeight="1" s="27">
      <c r="A127" s="39">
        <f>IF(B127="","",ROW()-2)</f>
        <v/>
      </c>
      <c r="B127" s="50" t="n"/>
      <c r="C127" s="40" t="n"/>
      <c r="D127" s="40" t="n"/>
      <c r="E127" s="40" t="n"/>
      <c r="F127" s="40" t="n"/>
      <c r="G127" s="40" t="n"/>
      <c r="H127" s="54" t="n"/>
    </row>
    <row r="128" ht="15" customHeight="1" s="27">
      <c r="A128" s="39">
        <f>IF(B128="","",ROW()-2)</f>
        <v/>
      </c>
      <c r="B128" s="50" t="n"/>
      <c r="C128" s="40" t="n"/>
      <c r="D128" s="40" t="n"/>
      <c r="E128" s="40" t="n"/>
      <c r="F128" s="40" t="n"/>
      <c r="G128" s="40" t="n"/>
      <c r="H128" s="54" t="n"/>
    </row>
    <row r="129" ht="15" customHeight="1" s="27">
      <c r="A129" s="39">
        <f>IF(B129="","",ROW()-2)</f>
        <v/>
      </c>
      <c r="B129" s="50" t="n"/>
      <c r="C129" s="40" t="n"/>
      <c r="D129" s="40" t="n"/>
      <c r="E129" s="40" t="n"/>
      <c r="F129" s="40" t="n"/>
      <c r="G129" s="40" t="n"/>
      <c r="H129" s="54" t="n"/>
    </row>
    <row r="130" ht="15" customHeight="1" s="27">
      <c r="A130" s="39">
        <f>IF(B130="","",ROW()-2)</f>
        <v/>
      </c>
      <c r="B130" s="50" t="n"/>
      <c r="C130" s="40" t="n"/>
      <c r="D130" s="40" t="n"/>
      <c r="E130" s="40" t="n"/>
      <c r="F130" s="40" t="n"/>
      <c r="G130" s="40" t="n"/>
      <c r="H130" s="54" t="n"/>
    </row>
    <row r="131" ht="15" customHeight="1" s="27">
      <c r="A131" s="39">
        <f>IF(B131="","",ROW()-2)</f>
        <v/>
      </c>
      <c r="B131" s="50" t="n"/>
      <c r="C131" s="40" t="n"/>
      <c r="D131" s="40" t="n"/>
      <c r="E131" s="40" t="n"/>
      <c r="F131" s="40" t="n"/>
      <c r="G131" s="40" t="n"/>
      <c r="H131" s="54" t="n"/>
    </row>
    <row r="132" ht="15" customHeight="1" s="27">
      <c r="A132" s="39">
        <f>IF(B132="","",ROW()-2)</f>
        <v/>
      </c>
      <c r="B132" s="50" t="n"/>
      <c r="C132" s="40" t="n"/>
      <c r="D132" s="40" t="n"/>
      <c r="E132" s="40" t="n"/>
      <c r="F132" s="40" t="n"/>
      <c r="G132" s="40" t="n"/>
      <c r="H132" s="54" t="n"/>
    </row>
    <row r="133" ht="15" customHeight="1" s="27">
      <c r="A133" s="39">
        <f>IF(B133="","",ROW()-2)</f>
        <v/>
      </c>
      <c r="B133" s="50" t="n"/>
      <c r="C133" s="40" t="n"/>
      <c r="D133" s="40" t="n"/>
      <c r="E133" s="40" t="n"/>
      <c r="F133" s="40" t="n"/>
      <c r="G133" s="40" t="n"/>
      <c r="H133" s="54" t="n"/>
    </row>
    <row r="134" ht="15" customHeight="1" s="27">
      <c r="A134" s="39">
        <f>IF(B134="","",ROW()-2)</f>
        <v/>
      </c>
      <c r="B134" s="50" t="n"/>
      <c r="C134" s="40" t="n"/>
      <c r="D134" s="40" t="n"/>
      <c r="E134" s="40" t="n"/>
      <c r="F134" s="40" t="n"/>
      <c r="G134" s="40" t="n"/>
      <c r="H134" s="54" t="n"/>
    </row>
    <row r="135" ht="15" customHeight="1" s="27">
      <c r="A135" s="39">
        <f>IF(B135="","",ROW()-2)</f>
        <v/>
      </c>
      <c r="B135" s="50" t="n"/>
      <c r="C135" s="40" t="n"/>
      <c r="D135" s="40" t="n"/>
      <c r="E135" s="40" t="n"/>
      <c r="F135" s="40" t="n"/>
      <c r="G135" s="40" t="n"/>
      <c r="H135" s="54" t="n"/>
    </row>
    <row r="136" ht="15" customHeight="1" s="27">
      <c r="A136" s="39">
        <f>IF(B136="","",ROW()-2)</f>
        <v/>
      </c>
      <c r="B136" s="50" t="n"/>
      <c r="C136" s="40" t="n"/>
      <c r="D136" s="40" t="n"/>
      <c r="E136" s="40" t="n"/>
      <c r="F136" s="40" t="n"/>
      <c r="G136" s="40" t="n"/>
      <c r="H136" s="54" t="n"/>
    </row>
    <row r="137" ht="15" customHeight="1" s="27">
      <c r="A137" s="39">
        <f>IF(B137="","",ROW()-2)</f>
        <v/>
      </c>
      <c r="B137" s="50" t="n"/>
      <c r="C137" s="40" t="n"/>
      <c r="D137" s="40" t="n"/>
      <c r="E137" s="40" t="n"/>
      <c r="F137" s="40" t="n"/>
      <c r="G137" s="40" t="n"/>
      <c r="H137" s="54" t="n"/>
    </row>
    <row r="138" ht="15" customHeight="1" s="27">
      <c r="A138" s="39">
        <f>IF(B138="","",ROW()-2)</f>
        <v/>
      </c>
      <c r="B138" s="50" t="n"/>
      <c r="C138" s="40" t="n"/>
      <c r="D138" s="40" t="n"/>
      <c r="E138" s="40" t="n"/>
      <c r="F138" s="40" t="n"/>
      <c r="G138" s="40" t="n"/>
      <c r="H138" s="54" t="n"/>
    </row>
    <row r="139" ht="15" customHeight="1" s="27">
      <c r="A139" s="39">
        <f>IF(B139="","",ROW()-2)</f>
        <v/>
      </c>
      <c r="B139" s="50" t="n"/>
      <c r="C139" s="40" t="n"/>
      <c r="D139" s="40" t="n"/>
      <c r="E139" s="40" t="n"/>
      <c r="F139" s="40" t="n"/>
      <c r="G139" s="40" t="n"/>
      <c r="H139" s="54" t="n"/>
    </row>
    <row r="140" ht="15" customHeight="1" s="27">
      <c r="A140" s="39">
        <f>IF(B140="","",ROW()-2)</f>
        <v/>
      </c>
      <c r="B140" s="50" t="n"/>
      <c r="C140" s="40" t="n"/>
      <c r="D140" s="40" t="n"/>
      <c r="E140" s="40" t="n"/>
      <c r="F140" s="40" t="n"/>
      <c r="G140" s="40" t="n"/>
      <c r="H140" s="54" t="n"/>
    </row>
    <row r="141" ht="15" customHeight="1" s="27">
      <c r="A141" s="39">
        <f>IF(B141="","",ROW()-2)</f>
        <v/>
      </c>
      <c r="B141" s="50" t="n"/>
      <c r="C141" s="40" t="n"/>
      <c r="D141" s="40" t="n"/>
      <c r="E141" s="40" t="n"/>
      <c r="F141" s="40" t="n"/>
      <c r="G141" s="40" t="n"/>
      <c r="H141" s="54" t="n"/>
    </row>
    <row r="142" ht="15" customHeight="1" s="27">
      <c r="A142" s="39">
        <f>IF(B142="","",ROW()-2)</f>
        <v/>
      </c>
      <c r="B142" s="50" t="n"/>
      <c r="C142" s="40" t="n"/>
      <c r="D142" s="40" t="n"/>
      <c r="E142" s="40" t="n"/>
      <c r="F142" s="40" t="n"/>
      <c r="G142" s="40" t="n"/>
      <c r="H142" s="54" t="n"/>
    </row>
    <row r="143" ht="15" customHeight="1" s="27">
      <c r="A143" s="39">
        <f>IF(B143="","",ROW()-2)</f>
        <v/>
      </c>
      <c r="B143" s="50" t="n"/>
      <c r="C143" s="40" t="n"/>
      <c r="D143" s="40" t="n"/>
      <c r="E143" s="40" t="n"/>
      <c r="F143" s="40" t="n"/>
      <c r="G143" s="40" t="n"/>
      <c r="H143" s="54" t="n"/>
    </row>
    <row r="144" ht="15" customHeight="1" s="27">
      <c r="A144" s="39">
        <f>IF(B144="","",ROW()-2)</f>
        <v/>
      </c>
      <c r="B144" s="50" t="n"/>
      <c r="C144" s="40" t="n"/>
      <c r="D144" s="40" t="n"/>
      <c r="E144" s="40" t="n"/>
      <c r="F144" s="40" t="n"/>
      <c r="G144" s="40" t="n"/>
      <c r="H144" s="54" t="n"/>
    </row>
    <row r="145" ht="15" customHeight="1" s="27">
      <c r="A145" s="39">
        <f>IF(B145="","",ROW()-2)</f>
        <v/>
      </c>
      <c r="B145" s="50" t="n"/>
      <c r="C145" s="40" t="n"/>
      <c r="D145" s="40" t="n"/>
      <c r="E145" s="40" t="n"/>
      <c r="F145" s="40" t="n"/>
      <c r="G145" s="40" t="n"/>
      <c r="H145" s="54" t="n"/>
    </row>
    <row r="146" ht="15" customHeight="1" s="27">
      <c r="A146" s="39">
        <f>IF(B146="","",ROW()-2)</f>
        <v/>
      </c>
      <c r="B146" s="50" t="n"/>
      <c r="C146" s="40" t="n"/>
      <c r="D146" s="40" t="n"/>
      <c r="E146" s="40" t="n"/>
      <c r="F146" s="40" t="n"/>
      <c r="G146" s="40" t="n"/>
      <c r="H146" s="54" t="n"/>
    </row>
    <row r="147" ht="15" customHeight="1" s="27">
      <c r="A147" s="39">
        <f>IF(B147="","",ROW()-2)</f>
        <v/>
      </c>
      <c r="B147" s="50" t="n"/>
      <c r="C147" s="40" t="n"/>
      <c r="D147" s="40" t="n"/>
      <c r="E147" s="40" t="n"/>
      <c r="F147" s="40" t="n"/>
      <c r="G147" s="40" t="n"/>
      <c r="H147" s="54" t="n"/>
    </row>
    <row r="148" ht="15" customHeight="1" s="27">
      <c r="A148" s="39">
        <f>IF(B148="","",ROW()-2)</f>
        <v/>
      </c>
      <c r="B148" s="50" t="n"/>
      <c r="C148" s="40" t="n"/>
      <c r="D148" s="40" t="n"/>
      <c r="E148" s="40" t="n"/>
      <c r="F148" s="40" t="n"/>
      <c r="G148" s="40" t="n"/>
      <c r="H148" s="54" t="n"/>
    </row>
    <row r="149" ht="15" customHeight="1" s="27">
      <c r="A149" s="39">
        <f>IF(B149="","",ROW()-2)</f>
        <v/>
      </c>
      <c r="B149" s="50" t="n"/>
      <c r="C149" s="40" t="n"/>
      <c r="D149" s="40" t="n"/>
      <c r="E149" s="40" t="n"/>
      <c r="F149" s="40" t="n"/>
      <c r="G149" s="40" t="n"/>
      <c r="H149" s="54" t="n"/>
    </row>
    <row r="150" ht="15" customHeight="1" s="27">
      <c r="A150" s="39">
        <f>IF(B150="","",ROW()-2)</f>
        <v/>
      </c>
      <c r="B150" s="50" t="n"/>
      <c r="C150" s="40" t="n"/>
      <c r="D150" s="40" t="n"/>
      <c r="E150" s="40" t="n"/>
      <c r="F150" s="40" t="n"/>
      <c r="G150" s="40" t="n"/>
      <c r="H150" s="54" t="n"/>
    </row>
    <row r="151" ht="15" customHeight="1" s="27">
      <c r="A151" s="39">
        <f>IF(B151="","",ROW()-2)</f>
        <v/>
      </c>
      <c r="B151" s="50" t="n"/>
      <c r="C151" s="40" t="n"/>
      <c r="D151" s="40" t="n"/>
      <c r="E151" s="40" t="n"/>
      <c r="F151" s="40" t="n"/>
      <c r="G151" s="40" t="n"/>
      <c r="H151" s="54" t="n"/>
    </row>
    <row r="152" ht="15" customHeight="1" s="27">
      <c r="A152" s="39">
        <f>IF(B152="","",ROW()-2)</f>
        <v/>
      </c>
      <c r="B152" s="50" t="n"/>
      <c r="C152" s="40" t="n"/>
      <c r="D152" s="40" t="n"/>
      <c r="E152" s="40" t="n"/>
      <c r="F152" s="40" t="n"/>
      <c r="G152" s="40" t="n"/>
      <c r="H152" s="54" t="n"/>
    </row>
    <row r="153" ht="15" customHeight="1" s="27">
      <c r="A153" s="39">
        <f>IF(B153="","",ROW()-2)</f>
        <v/>
      </c>
      <c r="B153" s="50" t="n"/>
      <c r="C153" s="40" t="n"/>
      <c r="D153" s="40" t="n"/>
      <c r="E153" s="40" t="n"/>
      <c r="F153" s="40" t="n"/>
      <c r="G153" s="40" t="n"/>
      <c r="H153" s="54" t="n"/>
    </row>
    <row r="154" ht="15" customHeight="1" s="27">
      <c r="A154" s="39">
        <f>IF(B154="","",ROW()-2)</f>
        <v/>
      </c>
      <c r="B154" s="50" t="n"/>
      <c r="C154" s="40" t="n"/>
      <c r="D154" s="40" t="n"/>
      <c r="E154" s="40" t="n"/>
      <c r="F154" s="40" t="n"/>
      <c r="G154" s="40" t="n"/>
      <c r="H154" s="54" t="n"/>
    </row>
    <row r="155" ht="15" customHeight="1" s="27">
      <c r="A155" s="39">
        <f>IF(B155="","",ROW()-2)</f>
        <v/>
      </c>
      <c r="B155" s="50" t="n"/>
      <c r="C155" s="40" t="n"/>
      <c r="D155" s="40" t="n"/>
      <c r="E155" s="40" t="n"/>
      <c r="F155" s="40" t="n"/>
      <c r="G155" s="40" t="n"/>
      <c r="H155" s="54" t="n"/>
    </row>
    <row r="156" ht="15" customHeight="1" s="27">
      <c r="A156" s="39">
        <f>IF(B156="","",ROW()-2)</f>
        <v/>
      </c>
      <c r="B156" s="50" t="n"/>
      <c r="C156" s="40" t="n"/>
      <c r="D156" s="40" t="n"/>
      <c r="E156" s="40" t="n"/>
      <c r="F156" s="40" t="n"/>
      <c r="G156" s="40" t="n"/>
      <c r="H156" s="54" t="n"/>
    </row>
    <row r="157" ht="15" customHeight="1" s="27">
      <c r="A157" s="39">
        <f>IF(B157="","",ROW()-2)</f>
        <v/>
      </c>
      <c r="B157" s="50" t="n"/>
      <c r="C157" s="40" t="n"/>
      <c r="D157" s="40" t="n"/>
      <c r="E157" s="40" t="n"/>
      <c r="F157" s="40" t="n"/>
      <c r="G157" s="40" t="n"/>
      <c r="H157" s="54" t="n"/>
    </row>
    <row r="158" ht="15" customHeight="1" s="27">
      <c r="A158" s="39">
        <f>IF(B158="","",ROW()-2)</f>
        <v/>
      </c>
      <c r="B158" s="50" t="n"/>
      <c r="C158" s="40" t="n"/>
      <c r="D158" s="40" t="n"/>
      <c r="E158" s="40" t="n"/>
      <c r="F158" s="40" t="n"/>
      <c r="G158" s="40" t="n"/>
      <c r="H158" s="54" t="n"/>
    </row>
    <row r="159" ht="15" customHeight="1" s="27">
      <c r="A159" s="39">
        <f>IF(B159="","",ROW()-2)</f>
        <v/>
      </c>
      <c r="B159" s="50" t="n"/>
      <c r="C159" s="40" t="n"/>
      <c r="D159" s="40" t="n"/>
      <c r="E159" s="40" t="n"/>
      <c r="F159" s="40" t="n"/>
      <c r="G159" s="40" t="n"/>
      <c r="H159" s="54" t="n"/>
    </row>
    <row r="160" ht="15" customHeight="1" s="27">
      <c r="A160" s="39">
        <f>IF(B160="","",ROW()-2)</f>
        <v/>
      </c>
      <c r="B160" s="50" t="n"/>
      <c r="C160" s="40" t="n"/>
      <c r="D160" s="40" t="n"/>
      <c r="E160" s="40" t="n"/>
      <c r="F160" s="40" t="n"/>
      <c r="G160" s="40" t="n"/>
      <c r="H160" s="54" t="n"/>
    </row>
    <row r="161" ht="15" customHeight="1" s="27">
      <c r="A161" s="39">
        <f>IF(B161="","",ROW()-2)</f>
        <v/>
      </c>
      <c r="B161" s="50" t="n"/>
      <c r="C161" s="40" t="n"/>
      <c r="D161" s="40" t="n"/>
      <c r="E161" s="40" t="n"/>
      <c r="F161" s="40" t="n"/>
      <c r="G161" s="40" t="n"/>
      <c r="H161" s="54" t="n"/>
    </row>
    <row r="162" ht="15" customHeight="1" s="27">
      <c r="A162" s="39">
        <f>IF(B162="","",ROW()-2)</f>
        <v/>
      </c>
      <c r="B162" s="50" t="n"/>
      <c r="C162" s="40" t="n"/>
      <c r="D162" s="40" t="n"/>
      <c r="E162" s="40" t="n"/>
      <c r="F162" s="40" t="n"/>
      <c r="G162" s="40" t="n"/>
      <c r="H162" s="54" t="n"/>
    </row>
    <row r="163" ht="15" customHeight="1" s="27">
      <c r="A163" s="39">
        <f>IF(B163="","",ROW()-2)</f>
        <v/>
      </c>
      <c r="B163" s="50" t="n"/>
      <c r="C163" s="40" t="n"/>
      <c r="D163" s="40" t="n"/>
      <c r="E163" s="40" t="n"/>
      <c r="F163" s="40" t="n"/>
      <c r="G163" s="40" t="n"/>
      <c r="H163" s="54" t="n"/>
    </row>
    <row r="164" ht="15" customHeight="1" s="27">
      <c r="A164" s="39">
        <f>IF(B164="","",ROW()-2)</f>
        <v/>
      </c>
      <c r="B164" s="50" t="n"/>
      <c r="C164" s="40" t="n"/>
      <c r="D164" s="40" t="n"/>
      <c r="E164" s="40" t="n"/>
      <c r="F164" s="40" t="n"/>
      <c r="G164" s="40" t="n"/>
      <c r="H164" s="54" t="n"/>
    </row>
    <row r="165" ht="15" customHeight="1" s="27">
      <c r="A165" s="39">
        <f>IF(B165="","",ROW()-2)</f>
        <v/>
      </c>
      <c r="B165" s="50" t="n"/>
      <c r="C165" s="40" t="n"/>
      <c r="D165" s="40" t="n"/>
      <c r="E165" s="40" t="n"/>
      <c r="F165" s="40" t="n"/>
      <c r="G165" s="40" t="n"/>
      <c r="H165" s="54" t="n"/>
    </row>
    <row r="166" ht="15" customHeight="1" s="27">
      <c r="A166" s="39">
        <f>IF(B166="","",ROW()-2)</f>
        <v/>
      </c>
      <c r="B166" s="50" t="n"/>
      <c r="C166" s="40" t="n"/>
      <c r="D166" s="40" t="n"/>
      <c r="E166" s="40" t="n"/>
      <c r="F166" s="40" t="n"/>
      <c r="G166" s="40" t="n"/>
      <c r="H166" s="54" t="n"/>
    </row>
    <row r="167" ht="15" customHeight="1" s="27">
      <c r="A167" s="39">
        <f>IF(B167="","",ROW()-2)</f>
        <v/>
      </c>
      <c r="B167" s="50" t="n"/>
      <c r="C167" s="40" t="n"/>
      <c r="D167" s="40" t="n"/>
      <c r="E167" s="40" t="n"/>
      <c r="F167" s="40" t="n"/>
      <c r="G167" s="40" t="n"/>
      <c r="H167" s="54" t="n"/>
    </row>
    <row r="168" ht="15" customHeight="1" s="27">
      <c r="A168" s="39">
        <f>IF(B168="","",ROW()-2)</f>
        <v/>
      </c>
      <c r="B168" s="50" t="n"/>
      <c r="C168" s="40" t="n"/>
      <c r="D168" s="40" t="n"/>
      <c r="E168" s="40" t="n"/>
      <c r="F168" s="40" t="n"/>
      <c r="G168" s="40" t="n"/>
      <c r="H168" s="54" t="n"/>
    </row>
    <row r="169" ht="15" customHeight="1" s="27">
      <c r="A169" s="39">
        <f>IF(B169="","",ROW()-2)</f>
        <v/>
      </c>
      <c r="B169" s="50" t="n"/>
      <c r="C169" s="40" t="n"/>
      <c r="D169" s="40" t="n"/>
      <c r="E169" s="40" t="n"/>
      <c r="F169" s="40" t="n"/>
      <c r="G169" s="40" t="n"/>
      <c r="H169" s="54" t="n"/>
    </row>
    <row r="170" ht="15" customHeight="1" s="27">
      <c r="A170" s="39">
        <f>IF(B170="","",ROW()-2)</f>
        <v/>
      </c>
      <c r="B170" s="50" t="n"/>
      <c r="C170" s="40" t="n"/>
      <c r="D170" s="40" t="n"/>
      <c r="E170" s="40" t="n"/>
      <c r="F170" s="40" t="n"/>
      <c r="G170" s="40" t="n"/>
      <c r="H170" s="54" t="n"/>
    </row>
    <row r="171" ht="15" customHeight="1" s="27">
      <c r="A171" s="39">
        <f>IF(B171="","",ROW()-2)</f>
        <v/>
      </c>
      <c r="B171" s="50" t="n"/>
      <c r="C171" s="40" t="n"/>
      <c r="D171" s="40" t="n"/>
      <c r="E171" s="40" t="n"/>
      <c r="F171" s="40" t="n"/>
      <c r="G171" s="40" t="n"/>
      <c r="H171" s="54" t="n"/>
    </row>
    <row r="172" ht="15" customHeight="1" s="27">
      <c r="A172" s="39">
        <f>IF(B172="","",ROW()-2)</f>
        <v/>
      </c>
      <c r="B172" s="50" t="n"/>
      <c r="C172" s="40" t="n"/>
      <c r="D172" s="40" t="n"/>
      <c r="E172" s="40" t="n"/>
      <c r="F172" s="40" t="n"/>
      <c r="G172" s="40" t="n"/>
      <c r="H172" s="54" t="n"/>
    </row>
    <row r="173" ht="15" customHeight="1" s="27">
      <c r="A173" s="39">
        <f>IF(B173="","",ROW()-2)</f>
        <v/>
      </c>
      <c r="B173" s="50" t="n"/>
      <c r="C173" s="40" t="n"/>
      <c r="D173" s="40" t="n"/>
      <c r="E173" s="40" t="n"/>
      <c r="F173" s="40" t="n"/>
      <c r="G173" s="40" t="n"/>
      <c r="H173" s="54" t="n"/>
    </row>
    <row r="174" ht="15" customHeight="1" s="27">
      <c r="A174" s="39">
        <f>IF(B174="","",ROW()-2)</f>
        <v/>
      </c>
      <c r="B174" s="50" t="n"/>
      <c r="C174" s="40" t="n"/>
      <c r="D174" s="40" t="n"/>
      <c r="E174" s="40" t="n"/>
      <c r="F174" s="40" t="n"/>
      <c r="G174" s="40" t="n"/>
      <c r="H174" s="54" t="n"/>
    </row>
    <row r="175" ht="15" customHeight="1" s="27">
      <c r="A175" s="39">
        <f>IF(B175="","",ROW()-2)</f>
        <v/>
      </c>
      <c r="B175" s="50" t="n"/>
      <c r="C175" s="40" t="n"/>
      <c r="D175" s="40" t="n"/>
      <c r="E175" s="40" t="n"/>
      <c r="F175" s="40" t="n"/>
      <c r="G175" s="40" t="n"/>
      <c r="H175" s="54" t="n"/>
    </row>
    <row r="176" ht="15" customHeight="1" s="27">
      <c r="A176" s="39">
        <f>IF(B176="","",ROW()-2)</f>
        <v/>
      </c>
      <c r="B176" s="50" t="n"/>
      <c r="C176" s="40" t="n"/>
      <c r="D176" s="40" t="n"/>
      <c r="E176" s="40" t="n"/>
      <c r="F176" s="40" t="n"/>
      <c r="G176" s="40" t="n"/>
      <c r="H176" s="54" t="n"/>
    </row>
    <row r="177" ht="15" customHeight="1" s="27">
      <c r="A177" s="39">
        <f>IF(B177="","",ROW()-2)</f>
        <v/>
      </c>
      <c r="B177" s="50" t="n"/>
      <c r="C177" s="40" t="n"/>
      <c r="D177" s="40" t="n"/>
      <c r="E177" s="40" t="n"/>
      <c r="F177" s="40" t="n"/>
      <c r="G177" s="40" t="n"/>
      <c r="H177" s="54" t="n"/>
    </row>
    <row r="178" ht="15" customHeight="1" s="27">
      <c r="A178" s="39">
        <f>IF(B178="","",ROW()-2)</f>
        <v/>
      </c>
      <c r="B178" s="50" t="n"/>
      <c r="C178" s="40" t="n"/>
      <c r="D178" s="40" t="n"/>
      <c r="E178" s="40" t="n"/>
      <c r="F178" s="40" t="n"/>
      <c r="G178" s="40" t="n"/>
      <c r="H178" s="54" t="n"/>
    </row>
    <row r="179" ht="15" customHeight="1" s="27">
      <c r="A179" s="39">
        <f>IF(B179="","",ROW()-2)</f>
        <v/>
      </c>
      <c r="B179" s="50" t="n"/>
      <c r="C179" s="40" t="n"/>
      <c r="D179" s="40" t="n"/>
      <c r="E179" s="40" t="n"/>
      <c r="F179" s="40" t="n"/>
      <c r="G179" s="40" t="n"/>
      <c r="H179" s="54" t="n"/>
    </row>
    <row r="180" ht="15" customHeight="1" s="27">
      <c r="A180" s="39">
        <f>IF(B180="","",ROW()-2)</f>
        <v/>
      </c>
      <c r="B180" s="50" t="n"/>
      <c r="C180" s="40" t="n"/>
      <c r="D180" s="40" t="n"/>
      <c r="E180" s="40" t="n"/>
      <c r="F180" s="40" t="n"/>
      <c r="G180" s="40" t="n"/>
      <c r="H180" s="54" t="n"/>
    </row>
    <row r="181" ht="15" customHeight="1" s="27">
      <c r="A181" s="39">
        <f>IF(B181="","",ROW()-2)</f>
        <v/>
      </c>
      <c r="B181" s="50" t="n"/>
      <c r="C181" s="40" t="n"/>
      <c r="D181" s="40" t="n"/>
      <c r="E181" s="40" t="n"/>
      <c r="F181" s="40" t="n"/>
      <c r="G181" s="40" t="n"/>
      <c r="H181" s="54" t="n"/>
    </row>
    <row r="182" ht="15" customHeight="1" s="27">
      <c r="A182" s="39">
        <f>IF(B182="","",ROW()-2)</f>
        <v/>
      </c>
      <c r="B182" s="50" t="n"/>
      <c r="C182" s="40" t="n"/>
      <c r="D182" s="40" t="n"/>
      <c r="E182" s="40" t="n"/>
      <c r="F182" s="40" t="n"/>
      <c r="G182" s="40" t="n"/>
      <c r="H182" s="54" t="n"/>
    </row>
    <row r="183" ht="15" customHeight="1" s="27">
      <c r="A183" s="39">
        <f>IF(B183="","",ROW()-2)</f>
        <v/>
      </c>
      <c r="B183" s="50" t="n"/>
      <c r="C183" s="40" t="n"/>
      <c r="D183" s="40" t="n"/>
      <c r="E183" s="40" t="n"/>
      <c r="F183" s="40" t="n"/>
      <c r="G183" s="40" t="n"/>
      <c r="H183" s="54" t="n"/>
    </row>
    <row r="184" ht="15" customHeight="1" s="27">
      <c r="A184" s="39">
        <f>IF(B184="","",ROW()-2)</f>
        <v/>
      </c>
      <c r="B184" s="50" t="n"/>
      <c r="C184" s="40" t="n"/>
      <c r="D184" s="40" t="n"/>
      <c r="E184" s="40" t="n"/>
      <c r="F184" s="40" t="n"/>
      <c r="G184" s="40" t="n"/>
      <c r="H184" s="54" t="n"/>
    </row>
    <row r="185" ht="15" customHeight="1" s="27">
      <c r="A185" s="39">
        <f>IF(B185="","",ROW()-2)</f>
        <v/>
      </c>
      <c r="B185" s="50" t="n"/>
      <c r="C185" s="40" t="n"/>
      <c r="D185" s="40" t="n"/>
      <c r="E185" s="40" t="n"/>
      <c r="F185" s="40" t="n"/>
      <c r="G185" s="40" t="n"/>
      <c r="H185" s="54" t="n"/>
    </row>
    <row r="186" ht="15" customHeight="1" s="27">
      <c r="A186" s="39">
        <f>IF(B186="","",ROW()-2)</f>
        <v/>
      </c>
      <c r="B186" s="50" t="n"/>
      <c r="C186" s="40" t="n"/>
      <c r="D186" s="40" t="n"/>
      <c r="E186" s="40" t="n"/>
      <c r="F186" s="40" t="n"/>
      <c r="G186" s="40" t="n"/>
      <c r="H186" s="54" t="n"/>
    </row>
    <row r="187" ht="15" customHeight="1" s="27">
      <c r="A187" s="39">
        <f>IF(B187="","",ROW()-2)</f>
        <v/>
      </c>
      <c r="B187" s="50" t="n"/>
      <c r="C187" s="40" t="n"/>
      <c r="D187" s="40" t="n"/>
      <c r="E187" s="40" t="n"/>
      <c r="F187" s="40" t="n"/>
      <c r="G187" s="40" t="n"/>
      <c r="H187" s="54" t="n"/>
    </row>
    <row r="188" ht="15" customHeight="1" s="27">
      <c r="A188" s="39">
        <f>IF(B188="","",ROW()-2)</f>
        <v/>
      </c>
      <c r="B188" s="50" t="n"/>
      <c r="C188" s="40" t="n"/>
      <c r="D188" s="40" t="n"/>
      <c r="E188" s="40" t="n"/>
      <c r="F188" s="40" t="n"/>
      <c r="G188" s="40" t="n"/>
      <c r="H188" s="54" t="n"/>
    </row>
    <row r="189" ht="15" customHeight="1" s="27">
      <c r="A189" s="39">
        <f>IF(B189="","",ROW()-2)</f>
        <v/>
      </c>
      <c r="B189" s="50" t="n"/>
      <c r="C189" s="40" t="n"/>
      <c r="D189" s="40" t="n"/>
      <c r="E189" s="40" t="n"/>
      <c r="F189" s="40" t="n"/>
      <c r="G189" s="40" t="n"/>
      <c r="H189" s="54" t="n"/>
    </row>
    <row r="190" ht="15" customHeight="1" s="27">
      <c r="A190" s="39">
        <f>IF(B190="","",ROW()-2)</f>
        <v/>
      </c>
      <c r="B190" s="50" t="n"/>
      <c r="C190" s="40" t="n"/>
      <c r="D190" s="40" t="n"/>
      <c r="E190" s="40" t="n"/>
      <c r="F190" s="40" t="n"/>
      <c r="G190" s="40" t="n"/>
      <c r="H190" s="54" t="n"/>
    </row>
    <row r="191" ht="15" customHeight="1" s="27">
      <c r="A191" s="39">
        <f>IF(B191="","",ROW()-2)</f>
        <v/>
      </c>
      <c r="B191" s="50" t="n"/>
      <c r="C191" s="40" t="n"/>
      <c r="D191" s="40" t="n"/>
      <c r="E191" s="40" t="n"/>
      <c r="F191" s="40" t="n"/>
      <c r="G191" s="40" t="n"/>
      <c r="H191" s="54" t="n"/>
    </row>
    <row r="192" ht="15" customHeight="1" s="27">
      <c r="A192" s="39">
        <f>IF(B192="","",ROW()-2)</f>
        <v/>
      </c>
      <c r="B192" s="50" t="n"/>
      <c r="C192" s="40" t="n"/>
      <c r="D192" s="40" t="n"/>
      <c r="E192" s="40" t="n"/>
      <c r="F192" s="40" t="n"/>
      <c r="G192" s="40" t="n"/>
      <c r="H192" s="54" t="n"/>
    </row>
    <row r="193" ht="15" customHeight="1" s="27">
      <c r="A193" s="39">
        <f>IF(B193="","",ROW()-2)</f>
        <v/>
      </c>
      <c r="B193" s="50" t="n"/>
      <c r="C193" s="40" t="n"/>
      <c r="D193" s="40" t="n"/>
      <c r="E193" s="40" t="n"/>
      <c r="F193" s="40" t="n"/>
      <c r="G193" s="40" t="n"/>
      <c r="H193" s="54" t="n"/>
    </row>
    <row r="194" ht="15" customHeight="1" s="27">
      <c r="A194" s="39">
        <f>IF(B194="","",ROW()-2)</f>
        <v/>
      </c>
      <c r="B194" s="50" t="n"/>
      <c r="C194" s="40" t="n"/>
      <c r="D194" s="40" t="n"/>
      <c r="E194" s="40" t="n"/>
      <c r="F194" s="40" t="n"/>
      <c r="G194" s="40" t="n"/>
      <c r="H194" s="54" t="n"/>
    </row>
    <row r="195" ht="15" customHeight="1" s="27">
      <c r="A195" s="39">
        <f>IF(B195="","",ROW()-2)</f>
        <v/>
      </c>
      <c r="B195" s="50" t="n"/>
      <c r="C195" s="40" t="n"/>
      <c r="D195" s="40" t="n"/>
      <c r="E195" s="40" t="n"/>
      <c r="F195" s="40" t="n"/>
      <c r="G195" s="40" t="n"/>
      <c r="H195" s="54" t="n"/>
    </row>
    <row r="196" ht="15" customHeight="1" s="27">
      <c r="A196" s="39">
        <f>IF(B196="","",ROW()-2)</f>
        <v/>
      </c>
      <c r="B196" s="50" t="n"/>
      <c r="C196" s="40" t="n"/>
      <c r="D196" s="40" t="n"/>
      <c r="E196" s="40" t="n"/>
      <c r="F196" s="40" t="n"/>
      <c r="G196" s="40" t="n"/>
      <c r="H196" s="54" t="n"/>
    </row>
    <row r="197" ht="15" customHeight="1" s="27">
      <c r="A197" s="39">
        <f>IF(B197="","",ROW()-2)</f>
        <v/>
      </c>
      <c r="B197" s="50" t="n"/>
      <c r="C197" s="40" t="n"/>
      <c r="D197" s="40" t="n"/>
      <c r="E197" s="40" t="n"/>
      <c r="F197" s="40" t="n"/>
      <c r="G197" s="40" t="n"/>
      <c r="H197" s="54" t="n"/>
    </row>
    <row r="198" ht="15" customHeight="1" s="27">
      <c r="A198" s="39">
        <f>IF(B198="","",ROW()-2)</f>
        <v/>
      </c>
      <c r="B198" s="50" t="n"/>
      <c r="C198" s="40" t="n"/>
      <c r="D198" s="40" t="n"/>
      <c r="E198" s="40" t="n"/>
      <c r="F198" s="40" t="n"/>
      <c r="G198" s="40" t="n"/>
      <c r="H198" s="54" t="n"/>
    </row>
    <row r="199" ht="15" customHeight="1" s="27">
      <c r="A199" s="39">
        <f>IF(B199="","",ROW()-2)</f>
        <v/>
      </c>
      <c r="B199" s="50" t="n"/>
      <c r="C199" s="40" t="n"/>
      <c r="D199" s="40" t="n"/>
      <c r="E199" s="40" t="n"/>
      <c r="F199" s="40" t="n"/>
      <c r="G199" s="40" t="n"/>
      <c r="H199" s="54" t="n"/>
    </row>
    <row r="200" ht="15" customHeight="1" s="27">
      <c r="A200" s="39">
        <f>IF(B200="","",ROW()-2)</f>
        <v/>
      </c>
      <c r="B200" s="50" t="n"/>
      <c r="C200" s="40" t="n"/>
      <c r="D200" s="40" t="n"/>
      <c r="E200" s="40" t="n"/>
      <c r="F200" s="40" t="n"/>
      <c r="G200" s="40" t="n"/>
      <c r="H200" s="54" t="n"/>
    </row>
    <row r="201" ht="15" customHeight="1" s="27">
      <c r="A201" s="39">
        <f>IF(B201="","",ROW()-2)</f>
        <v/>
      </c>
      <c r="B201" s="50" t="n"/>
      <c r="C201" s="40" t="n"/>
      <c r="D201" s="40" t="n"/>
      <c r="E201" s="40" t="n"/>
      <c r="F201" s="40" t="n"/>
      <c r="G201" s="40" t="n"/>
      <c r="H201" s="54" t="n"/>
    </row>
    <row r="202" ht="15" customHeight="1" s="27">
      <c r="A202" s="39">
        <f>IF(B202="","",ROW()-2)</f>
        <v/>
      </c>
      <c r="B202" s="50" t="n"/>
      <c r="C202" s="40" t="n"/>
      <c r="D202" s="40" t="n"/>
      <c r="E202" s="40" t="n"/>
      <c r="F202" s="40" t="n"/>
      <c r="G202" s="40" t="n"/>
      <c r="H202" s="54" t="n"/>
    </row>
  </sheetData>
  <dataValidations count="5">
    <dataValidation sqref="B3:B202" showDropDown="0" showInputMessage="0" showErrorMessage="0" allowBlank="1" type="list" errorStyle="stop" operator="between">
      <formula1>Listas!$A$2:$A$14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E3:E202" showDropDown="0" showInputMessage="0" showErrorMessage="0" allowBlank="1" type="list" errorStyle="stop" operator="between">
      <formula1>Listas!$F$2:$F$4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2" topLeftCell="A3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6" min="1" max="1"/>
    <col width="12" customWidth="1" style="26" min="2" max="3"/>
    <col width="24" customWidth="1" style="26" min="4" max="4"/>
    <col width="20" customWidth="1" style="26" min="5" max="5"/>
    <col width="16" customWidth="1" style="26" min="6" max="6"/>
    <col width="16" customWidth="1" style="26" min="7" max="8"/>
  </cols>
  <sheetData>
    <row r="1" ht="30" customHeight="1" s="27">
      <c r="A1" s="38" t="inlineStr">
        <is>
          <t>ID
consulta</t>
        </is>
      </c>
      <c r="B1" s="38" t="inlineStr">
        <is>
          <t>Fecha</t>
        </is>
      </c>
      <c r="C1" s="38" t="inlineStr">
        <is>
          <t>Código
paciente</t>
        </is>
      </c>
      <c r="D1" s="38" t="inlineStr">
        <is>
          <t>Categoría</t>
        </is>
      </c>
      <c r="E1" s="38" t="inlineStr">
        <is>
          <t>Canal</t>
        </is>
      </c>
      <c r="F1" s="38" t="inlineStr">
        <is>
          <t>Resuelta en el
primer contacto</t>
        </is>
      </c>
      <c r="G1" s="38" t="inlineStr">
        <is>
          <t>Derivada a otra
persona o área</t>
        </is>
      </c>
      <c r="H1" s="38" t="inlineStr">
        <is>
          <t>Tiempo de
respuesta (min)</t>
        </is>
      </c>
    </row>
    <row r="2" ht="15" customHeight="1" s="27">
      <c r="A2" s="46" t="inlineStr">
        <is>
          <t>Ej.</t>
        </is>
      </c>
      <c r="B2" s="47" t="n">
        <v>46297</v>
      </c>
      <c r="C2" s="46" t="inlineStr">
        <is>
          <t>PAC-00</t>
        </is>
      </c>
      <c r="D2" s="46" t="inlineStr">
        <is>
          <t>Horarios</t>
        </is>
      </c>
      <c r="E2" s="46" t="inlineStr">
        <is>
          <t>Chatbot</t>
        </is>
      </c>
      <c r="F2" s="46" t="inlineStr">
        <is>
          <t>Sí</t>
        </is>
      </c>
      <c r="G2" s="46" t="inlineStr">
        <is>
          <t>No</t>
        </is>
      </c>
      <c r="H2" s="46" t="n">
        <v>3</v>
      </c>
    </row>
    <row r="3" ht="15" customHeight="1" s="27">
      <c r="A3" s="39">
        <f>IF(B3="","",ROW()-2)</f>
        <v/>
      </c>
      <c r="B3" s="50" t="n"/>
      <c r="C3" s="40" t="n"/>
      <c r="D3" s="40" t="n"/>
      <c r="E3" s="53" t="inlineStr">
        <is>
          <t>Chatbot</t>
        </is>
      </c>
      <c r="F3" s="40" t="n"/>
      <c r="G3" s="40" t="n"/>
      <c r="H3" s="54" t="n"/>
    </row>
    <row r="4" ht="15" customHeight="1" s="27">
      <c r="A4" s="39">
        <f>IF(B4="","",ROW()-2)</f>
        <v/>
      </c>
      <c r="B4" s="50" t="n"/>
      <c r="C4" s="40" t="n"/>
      <c r="D4" s="40" t="n"/>
      <c r="E4" s="53" t="inlineStr">
        <is>
          <t>Chatbot</t>
        </is>
      </c>
      <c r="F4" s="40" t="n"/>
      <c r="G4" s="40" t="n"/>
      <c r="H4" s="54" t="n"/>
    </row>
    <row r="5" ht="15" customHeight="1" s="27">
      <c r="A5" s="39">
        <f>IF(B5="","",ROW()-2)</f>
        <v/>
      </c>
      <c r="B5" s="50" t="n"/>
      <c r="C5" s="40" t="n"/>
      <c r="D5" s="40" t="n"/>
      <c r="E5" s="53" t="inlineStr">
        <is>
          <t>Chatbot</t>
        </is>
      </c>
      <c r="F5" s="40" t="n"/>
      <c r="G5" s="40" t="n"/>
      <c r="H5" s="54" t="n"/>
    </row>
    <row r="6" ht="15" customHeight="1" s="27">
      <c r="A6" s="39">
        <f>IF(B6="","",ROW()-2)</f>
        <v/>
      </c>
      <c r="B6" s="50" t="n"/>
      <c r="C6" s="40" t="n"/>
      <c r="D6" s="40" t="n"/>
      <c r="E6" s="53" t="inlineStr">
        <is>
          <t>Chatbot</t>
        </is>
      </c>
      <c r="F6" s="40" t="n"/>
      <c r="G6" s="40" t="n"/>
      <c r="H6" s="54" t="n"/>
    </row>
    <row r="7" ht="15" customHeight="1" s="27">
      <c r="A7" s="39">
        <f>IF(B7="","",ROW()-2)</f>
        <v/>
      </c>
      <c r="B7" s="50" t="n"/>
      <c r="C7" s="40" t="n"/>
      <c r="D7" s="40" t="n"/>
      <c r="E7" s="53" t="inlineStr">
        <is>
          <t>Chatbot</t>
        </is>
      </c>
      <c r="F7" s="40" t="n"/>
      <c r="G7" s="40" t="n"/>
      <c r="H7" s="54" t="n"/>
    </row>
    <row r="8" ht="15" customHeight="1" s="27">
      <c r="A8" s="39">
        <f>IF(B8="","",ROW()-2)</f>
        <v/>
      </c>
      <c r="B8" s="50" t="n"/>
      <c r="C8" s="40" t="n"/>
      <c r="D8" s="40" t="n"/>
      <c r="E8" s="53" t="inlineStr">
        <is>
          <t>Chatbot</t>
        </is>
      </c>
      <c r="F8" s="40" t="n"/>
      <c r="G8" s="40" t="n"/>
      <c r="H8" s="54" t="n"/>
    </row>
    <row r="9" ht="15" customHeight="1" s="27">
      <c r="A9" s="39">
        <f>IF(B9="","",ROW()-2)</f>
        <v/>
      </c>
      <c r="B9" s="50" t="n"/>
      <c r="C9" s="40" t="n"/>
      <c r="D9" s="40" t="n"/>
      <c r="E9" s="53" t="inlineStr">
        <is>
          <t>Chatbot</t>
        </is>
      </c>
      <c r="F9" s="40" t="n"/>
      <c r="G9" s="40" t="n"/>
      <c r="H9" s="54" t="n"/>
    </row>
    <row r="10" ht="15" customHeight="1" s="27">
      <c r="A10" s="39">
        <f>IF(B10="","",ROW()-2)</f>
        <v/>
      </c>
      <c r="B10" s="50" t="n"/>
      <c r="C10" s="40" t="n"/>
      <c r="D10" s="40" t="n"/>
      <c r="E10" s="53" t="inlineStr">
        <is>
          <t>Chatbot</t>
        </is>
      </c>
      <c r="F10" s="40" t="n"/>
      <c r="G10" s="40" t="n"/>
      <c r="H10" s="54" t="n"/>
    </row>
    <row r="11" ht="15" customHeight="1" s="27">
      <c r="A11" s="39">
        <f>IF(B11="","",ROW()-2)</f>
        <v/>
      </c>
      <c r="B11" s="50" t="n"/>
      <c r="C11" s="40" t="n"/>
      <c r="D11" s="40" t="n"/>
      <c r="E11" s="53" t="inlineStr">
        <is>
          <t>Chatbot</t>
        </is>
      </c>
      <c r="F11" s="40" t="n"/>
      <c r="G11" s="40" t="n"/>
      <c r="H11" s="54" t="n"/>
    </row>
    <row r="12" ht="15" customHeight="1" s="27">
      <c r="A12" s="39">
        <f>IF(B12="","",ROW()-2)</f>
        <v/>
      </c>
      <c r="B12" s="50" t="n"/>
      <c r="C12" s="40" t="n"/>
      <c r="D12" s="40" t="n"/>
      <c r="E12" s="53" t="inlineStr">
        <is>
          <t>Chatbot</t>
        </is>
      </c>
      <c r="F12" s="40" t="n"/>
      <c r="G12" s="40" t="n"/>
      <c r="H12" s="54" t="n"/>
    </row>
    <row r="13" ht="15" customHeight="1" s="27">
      <c r="A13" s="39">
        <f>IF(B13="","",ROW()-2)</f>
        <v/>
      </c>
      <c r="B13" s="50" t="n"/>
      <c r="C13" s="40" t="n"/>
      <c r="D13" s="40" t="n"/>
      <c r="E13" s="53" t="inlineStr">
        <is>
          <t>Chatbot</t>
        </is>
      </c>
      <c r="F13" s="40" t="n"/>
      <c r="G13" s="40" t="n"/>
      <c r="H13" s="54" t="n"/>
    </row>
    <row r="14" ht="15" customHeight="1" s="27">
      <c r="A14" s="39">
        <f>IF(B14="","",ROW()-2)</f>
        <v/>
      </c>
      <c r="B14" s="50" t="n"/>
      <c r="C14" s="40" t="n"/>
      <c r="D14" s="40" t="n"/>
      <c r="E14" s="53" t="inlineStr">
        <is>
          <t>Chatbot</t>
        </is>
      </c>
      <c r="F14" s="40" t="n"/>
      <c r="G14" s="40" t="n"/>
      <c r="H14" s="54" t="n"/>
    </row>
    <row r="15" ht="15" customHeight="1" s="27">
      <c r="A15" s="39">
        <f>IF(B15="","",ROW()-2)</f>
        <v/>
      </c>
      <c r="B15" s="50" t="n"/>
      <c r="C15" s="40" t="n"/>
      <c r="D15" s="40" t="n"/>
      <c r="E15" s="53" t="inlineStr">
        <is>
          <t>Chatbot</t>
        </is>
      </c>
      <c r="F15" s="40" t="n"/>
      <c r="G15" s="40" t="n"/>
      <c r="H15" s="54" t="n"/>
    </row>
    <row r="16" ht="15" customHeight="1" s="27">
      <c r="A16" s="39">
        <f>IF(B16="","",ROW()-2)</f>
        <v/>
      </c>
      <c r="B16" s="50" t="n"/>
      <c r="C16" s="40" t="n"/>
      <c r="D16" s="40" t="n"/>
      <c r="E16" s="53" t="inlineStr">
        <is>
          <t>Chatbot</t>
        </is>
      </c>
      <c r="F16" s="40" t="n"/>
      <c r="G16" s="40" t="n"/>
      <c r="H16" s="54" t="n"/>
    </row>
    <row r="17" ht="15" customHeight="1" s="27">
      <c r="A17" s="39">
        <f>IF(B17="","",ROW()-2)</f>
        <v/>
      </c>
      <c r="B17" s="50" t="n"/>
      <c r="C17" s="40" t="n"/>
      <c r="D17" s="40" t="n"/>
      <c r="E17" s="53" t="inlineStr">
        <is>
          <t>Chatbot</t>
        </is>
      </c>
      <c r="F17" s="40" t="n"/>
      <c r="G17" s="40" t="n"/>
      <c r="H17" s="54" t="n"/>
    </row>
    <row r="18" ht="15" customHeight="1" s="27">
      <c r="A18" s="39">
        <f>IF(B18="","",ROW()-2)</f>
        <v/>
      </c>
      <c r="B18" s="50" t="n"/>
      <c r="C18" s="40" t="n"/>
      <c r="D18" s="40" t="n"/>
      <c r="E18" s="53" t="inlineStr">
        <is>
          <t>Chatbot</t>
        </is>
      </c>
      <c r="F18" s="40" t="n"/>
      <c r="G18" s="40" t="n"/>
      <c r="H18" s="54" t="n"/>
    </row>
    <row r="19" ht="15" customHeight="1" s="27">
      <c r="A19" s="39">
        <f>IF(B19="","",ROW()-2)</f>
        <v/>
      </c>
      <c r="B19" s="50" t="n"/>
      <c r="C19" s="40" t="n"/>
      <c r="D19" s="40" t="n"/>
      <c r="E19" s="53" t="inlineStr">
        <is>
          <t>Chatbot</t>
        </is>
      </c>
      <c r="F19" s="40" t="n"/>
      <c r="G19" s="40" t="n"/>
      <c r="H19" s="54" t="n"/>
    </row>
    <row r="20" ht="15" customHeight="1" s="27">
      <c r="A20" s="39">
        <f>IF(B20="","",ROW()-2)</f>
        <v/>
      </c>
      <c r="B20" s="50" t="n"/>
      <c r="C20" s="40" t="n"/>
      <c r="D20" s="40" t="n"/>
      <c r="E20" s="53" t="inlineStr">
        <is>
          <t>Chatbot</t>
        </is>
      </c>
      <c r="F20" s="40" t="n"/>
      <c r="G20" s="40" t="n"/>
      <c r="H20" s="54" t="n"/>
    </row>
    <row r="21" ht="15" customHeight="1" s="27">
      <c r="A21" s="39">
        <f>IF(B21="","",ROW()-2)</f>
        <v/>
      </c>
      <c r="B21" s="50" t="n"/>
      <c r="C21" s="40" t="n"/>
      <c r="D21" s="40" t="n"/>
      <c r="E21" s="53" t="inlineStr">
        <is>
          <t>Chatbot</t>
        </is>
      </c>
      <c r="F21" s="40" t="n"/>
      <c r="G21" s="40" t="n"/>
      <c r="H21" s="54" t="n"/>
    </row>
    <row r="22" ht="15" customHeight="1" s="27">
      <c r="A22" s="39">
        <f>IF(B22="","",ROW()-2)</f>
        <v/>
      </c>
      <c r="B22" s="50" t="n"/>
      <c r="C22" s="40" t="n"/>
      <c r="D22" s="40" t="n"/>
      <c r="E22" s="53" t="inlineStr">
        <is>
          <t>Chatbot</t>
        </is>
      </c>
      <c r="F22" s="40" t="n"/>
      <c r="G22" s="40" t="n"/>
      <c r="H22" s="54" t="n"/>
    </row>
    <row r="23" ht="15" customHeight="1" s="27">
      <c r="A23" s="39">
        <f>IF(B23="","",ROW()-2)</f>
        <v/>
      </c>
      <c r="B23" s="50" t="n"/>
      <c r="C23" s="40" t="n"/>
      <c r="D23" s="40" t="n"/>
      <c r="E23" s="53" t="inlineStr">
        <is>
          <t>Chatbot</t>
        </is>
      </c>
      <c r="F23" s="40" t="n"/>
      <c r="G23" s="40" t="n"/>
      <c r="H23" s="54" t="n"/>
    </row>
    <row r="24" ht="15" customHeight="1" s="27">
      <c r="A24" s="39">
        <f>IF(B24="","",ROW()-2)</f>
        <v/>
      </c>
      <c r="B24" s="50" t="n"/>
      <c r="C24" s="40" t="n"/>
      <c r="D24" s="40" t="n"/>
      <c r="E24" s="53" t="inlineStr">
        <is>
          <t>Chatbot</t>
        </is>
      </c>
      <c r="F24" s="40" t="n"/>
      <c r="G24" s="40" t="n"/>
      <c r="H24" s="54" t="n"/>
    </row>
    <row r="25" ht="15" customHeight="1" s="27">
      <c r="A25" s="39">
        <f>IF(B25="","",ROW()-2)</f>
        <v/>
      </c>
      <c r="B25" s="50" t="n"/>
      <c r="C25" s="40" t="n"/>
      <c r="D25" s="40" t="n"/>
      <c r="E25" s="53" t="inlineStr">
        <is>
          <t>Chatbot</t>
        </is>
      </c>
      <c r="F25" s="40" t="n"/>
      <c r="G25" s="40" t="n"/>
      <c r="H25" s="54" t="n"/>
    </row>
    <row r="26" ht="15" customHeight="1" s="27">
      <c r="A26" s="39">
        <f>IF(B26="","",ROW()-2)</f>
        <v/>
      </c>
      <c r="B26" s="50" t="n"/>
      <c r="C26" s="40" t="n"/>
      <c r="D26" s="40" t="n"/>
      <c r="E26" s="53" t="inlineStr">
        <is>
          <t>Chatbot</t>
        </is>
      </c>
      <c r="F26" s="40" t="n"/>
      <c r="G26" s="40" t="n"/>
      <c r="H26" s="54" t="n"/>
    </row>
    <row r="27" ht="15" customHeight="1" s="27">
      <c r="A27" s="39">
        <f>IF(B27="","",ROW()-2)</f>
        <v/>
      </c>
      <c r="B27" s="50" t="n"/>
      <c r="C27" s="40" t="n"/>
      <c r="D27" s="40" t="n"/>
      <c r="E27" s="53" t="inlineStr">
        <is>
          <t>Chatbot</t>
        </is>
      </c>
      <c r="F27" s="40" t="n"/>
      <c r="G27" s="40" t="n"/>
      <c r="H27" s="54" t="n"/>
    </row>
    <row r="28" ht="15" customHeight="1" s="27">
      <c r="A28" s="39">
        <f>IF(B28="","",ROW()-2)</f>
        <v/>
      </c>
      <c r="B28" s="50" t="n"/>
      <c r="C28" s="40" t="n"/>
      <c r="D28" s="40" t="n"/>
      <c r="E28" s="53" t="inlineStr">
        <is>
          <t>Chatbot</t>
        </is>
      </c>
      <c r="F28" s="40" t="n"/>
      <c r="G28" s="40" t="n"/>
      <c r="H28" s="54" t="n"/>
    </row>
    <row r="29" ht="15" customHeight="1" s="27">
      <c r="A29" s="39">
        <f>IF(B29="","",ROW()-2)</f>
        <v/>
      </c>
      <c r="B29" s="50" t="n"/>
      <c r="C29" s="40" t="n"/>
      <c r="D29" s="40" t="n"/>
      <c r="E29" s="53" t="inlineStr">
        <is>
          <t>Chatbot</t>
        </is>
      </c>
      <c r="F29" s="40" t="n"/>
      <c r="G29" s="40" t="n"/>
      <c r="H29" s="54" t="n"/>
    </row>
    <row r="30" ht="15" customHeight="1" s="27">
      <c r="A30" s="39">
        <f>IF(B30="","",ROW()-2)</f>
        <v/>
      </c>
      <c r="B30" s="50" t="n"/>
      <c r="C30" s="40" t="n"/>
      <c r="D30" s="40" t="n"/>
      <c r="E30" s="53" t="inlineStr">
        <is>
          <t>Chatbot</t>
        </is>
      </c>
      <c r="F30" s="40" t="n"/>
      <c r="G30" s="40" t="n"/>
      <c r="H30" s="54" t="n"/>
    </row>
    <row r="31" ht="15" customHeight="1" s="27">
      <c r="A31" s="39">
        <f>IF(B31="","",ROW()-2)</f>
        <v/>
      </c>
      <c r="B31" s="50" t="n"/>
      <c r="C31" s="40" t="n"/>
      <c r="D31" s="40" t="n"/>
      <c r="E31" s="53" t="inlineStr">
        <is>
          <t>Chatbot</t>
        </is>
      </c>
      <c r="F31" s="40" t="n"/>
      <c r="G31" s="40" t="n"/>
      <c r="H31" s="54" t="n"/>
    </row>
    <row r="32" ht="15" customHeight="1" s="27">
      <c r="A32" s="39">
        <f>IF(B32="","",ROW()-2)</f>
        <v/>
      </c>
      <c r="B32" s="50" t="n"/>
      <c r="C32" s="40" t="n"/>
      <c r="D32" s="40" t="n"/>
      <c r="E32" s="53" t="inlineStr">
        <is>
          <t>Chatbot</t>
        </is>
      </c>
      <c r="F32" s="40" t="n"/>
      <c r="G32" s="40" t="n"/>
      <c r="H32" s="54" t="n"/>
    </row>
    <row r="33" ht="15" customHeight="1" s="27">
      <c r="A33" s="39">
        <f>IF(B33="","",ROW()-2)</f>
        <v/>
      </c>
      <c r="B33" s="50" t="n"/>
      <c r="C33" s="40" t="n"/>
      <c r="D33" s="40" t="n"/>
      <c r="E33" s="53" t="inlineStr">
        <is>
          <t>Chatbot</t>
        </is>
      </c>
      <c r="F33" s="40" t="n"/>
      <c r="G33" s="40" t="n"/>
      <c r="H33" s="54" t="n"/>
    </row>
    <row r="34" ht="15" customHeight="1" s="27">
      <c r="A34" s="39">
        <f>IF(B34="","",ROW()-2)</f>
        <v/>
      </c>
      <c r="B34" s="50" t="n"/>
      <c r="C34" s="40" t="n"/>
      <c r="D34" s="40" t="n"/>
      <c r="E34" s="53" t="inlineStr">
        <is>
          <t>Chatbot</t>
        </is>
      </c>
      <c r="F34" s="40" t="n"/>
      <c r="G34" s="40" t="n"/>
      <c r="H34" s="54" t="n"/>
    </row>
    <row r="35" ht="15" customHeight="1" s="27">
      <c r="A35" s="39">
        <f>IF(B35="","",ROW()-2)</f>
        <v/>
      </c>
      <c r="B35" s="50" t="n"/>
      <c r="C35" s="40" t="n"/>
      <c r="D35" s="40" t="n"/>
      <c r="E35" s="53" t="inlineStr">
        <is>
          <t>Chatbot</t>
        </is>
      </c>
      <c r="F35" s="40" t="n"/>
      <c r="G35" s="40" t="n"/>
      <c r="H35" s="54" t="n"/>
    </row>
    <row r="36" ht="15" customHeight="1" s="27">
      <c r="A36" s="39">
        <f>IF(B36="","",ROW()-2)</f>
        <v/>
      </c>
      <c r="B36" s="50" t="n"/>
      <c r="C36" s="40" t="n"/>
      <c r="D36" s="40" t="n"/>
      <c r="E36" s="53" t="inlineStr">
        <is>
          <t>Chatbot</t>
        </is>
      </c>
      <c r="F36" s="40" t="n"/>
      <c r="G36" s="40" t="n"/>
      <c r="H36" s="54" t="n"/>
    </row>
    <row r="37" ht="15" customHeight="1" s="27">
      <c r="A37" s="39">
        <f>IF(B37="","",ROW()-2)</f>
        <v/>
      </c>
      <c r="B37" s="50" t="n"/>
      <c r="C37" s="40" t="n"/>
      <c r="D37" s="40" t="n"/>
      <c r="E37" s="53" t="inlineStr">
        <is>
          <t>Chatbot</t>
        </is>
      </c>
      <c r="F37" s="40" t="n"/>
      <c r="G37" s="40" t="n"/>
      <c r="H37" s="54" t="n"/>
    </row>
    <row r="38" ht="15" customHeight="1" s="27">
      <c r="A38" s="39">
        <f>IF(B38="","",ROW()-2)</f>
        <v/>
      </c>
      <c r="B38" s="50" t="n"/>
      <c r="C38" s="40" t="n"/>
      <c r="D38" s="40" t="n"/>
      <c r="E38" s="53" t="inlineStr">
        <is>
          <t>Chatbot</t>
        </is>
      </c>
      <c r="F38" s="40" t="n"/>
      <c r="G38" s="40" t="n"/>
      <c r="H38" s="54" t="n"/>
    </row>
    <row r="39" ht="15" customHeight="1" s="27">
      <c r="A39" s="39">
        <f>IF(B39="","",ROW()-2)</f>
        <v/>
      </c>
      <c r="B39" s="50" t="n"/>
      <c r="C39" s="40" t="n"/>
      <c r="D39" s="40" t="n"/>
      <c r="E39" s="53" t="inlineStr">
        <is>
          <t>Chatbot</t>
        </is>
      </c>
      <c r="F39" s="40" t="n"/>
      <c r="G39" s="40" t="n"/>
      <c r="H39" s="54" t="n"/>
    </row>
    <row r="40" ht="15" customHeight="1" s="27">
      <c r="A40" s="39">
        <f>IF(B40="","",ROW()-2)</f>
        <v/>
      </c>
      <c r="B40" s="50" t="n"/>
      <c r="C40" s="40" t="n"/>
      <c r="D40" s="40" t="n"/>
      <c r="E40" s="53" t="inlineStr">
        <is>
          <t>Chatbot</t>
        </is>
      </c>
      <c r="F40" s="40" t="n"/>
      <c r="G40" s="40" t="n"/>
      <c r="H40" s="54" t="n"/>
    </row>
    <row r="41" ht="15" customHeight="1" s="27">
      <c r="A41" s="39">
        <f>IF(B41="","",ROW()-2)</f>
        <v/>
      </c>
      <c r="B41" s="50" t="n"/>
      <c r="C41" s="40" t="n"/>
      <c r="D41" s="40" t="n"/>
      <c r="E41" s="53" t="inlineStr">
        <is>
          <t>Chatbot</t>
        </is>
      </c>
      <c r="F41" s="40" t="n"/>
      <c r="G41" s="40" t="n"/>
      <c r="H41" s="54" t="n"/>
    </row>
    <row r="42" ht="15" customHeight="1" s="27">
      <c r="A42" s="39">
        <f>IF(B42="","",ROW()-2)</f>
        <v/>
      </c>
      <c r="B42" s="50" t="n"/>
      <c r="C42" s="40" t="n"/>
      <c r="D42" s="40" t="n"/>
      <c r="E42" s="53" t="inlineStr">
        <is>
          <t>Chatbot</t>
        </is>
      </c>
      <c r="F42" s="40" t="n"/>
      <c r="G42" s="40" t="n"/>
      <c r="H42" s="54" t="n"/>
    </row>
    <row r="43" ht="15" customHeight="1" s="27">
      <c r="A43" s="39">
        <f>IF(B43="","",ROW()-2)</f>
        <v/>
      </c>
      <c r="B43" s="50" t="n"/>
      <c r="C43" s="40" t="n"/>
      <c r="D43" s="40" t="n"/>
      <c r="E43" s="53" t="inlineStr">
        <is>
          <t>Chatbot</t>
        </is>
      </c>
      <c r="F43" s="40" t="n"/>
      <c r="G43" s="40" t="n"/>
      <c r="H43" s="54" t="n"/>
    </row>
    <row r="44" ht="15" customHeight="1" s="27">
      <c r="A44" s="39">
        <f>IF(B44="","",ROW()-2)</f>
        <v/>
      </c>
      <c r="B44" s="50" t="n"/>
      <c r="C44" s="40" t="n"/>
      <c r="D44" s="40" t="n"/>
      <c r="E44" s="53" t="inlineStr">
        <is>
          <t>Chatbot</t>
        </is>
      </c>
      <c r="F44" s="40" t="n"/>
      <c r="G44" s="40" t="n"/>
      <c r="H44" s="54" t="n"/>
    </row>
    <row r="45" ht="15" customHeight="1" s="27">
      <c r="A45" s="39">
        <f>IF(B45="","",ROW()-2)</f>
        <v/>
      </c>
      <c r="B45" s="50" t="n"/>
      <c r="C45" s="40" t="n"/>
      <c r="D45" s="40" t="n"/>
      <c r="E45" s="53" t="inlineStr">
        <is>
          <t>Chatbot</t>
        </is>
      </c>
      <c r="F45" s="40" t="n"/>
      <c r="G45" s="40" t="n"/>
      <c r="H45" s="54" t="n"/>
    </row>
    <row r="46" ht="15" customHeight="1" s="27">
      <c r="A46" s="39">
        <f>IF(B46="","",ROW()-2)</f>
        <v/>
      </c>
      <c r="B46" s="50" t="n"/>
      <c r="C46" s="40" t="n"/>
      <c r="D46" s="40" t="n"/>
      <c r="E46" s="53" t="inlineStr">
        <is>
          <t>Chatbot</t>
        </is>
      </c>
      <c r="F46" s="40" t="n"/>
      <c r="G46" s="40" t="n"/>
      <c r="H46" s="54" t="n"/>
    </row>
    <row r="47" ht="15" customHeight="1" s="27">
      <c r="A47" s="39">
        <f>IF(B47="","",ROW()-2)</f>
        <v/>
      </c>
      <c r="B47" s="50" t="n"/>
      <c r="C47" s="40" t="n"/>
      <c r="D47" s="40" t="n"/>
      <c r="E47" s="53" t="inlineStr">
        <is>
          <t>Chatbot</t>
        </is>
      </c>
      <c r="F47" s="40" t="n"/>
      <c r="G47" s="40" t="n"/>
      <c r="H47" s="54" t="n"/>
    </row>
    <row r="48" ht="15" customHeight="1" s="27">
      <c r="A48" s="39">
        <f>IF(B48="","",ROW()-2)</f>
        <v/>
      </c>
      <c r="B48" s="50" t="n"/>
      <c r="C48" s="40" t="n"/>
      <c r="D48" s="40" t="n"/>
      <c r="E48" s="53" t="inlineStr">
        <is>
          <t>Chatbot</t>
        </is>
      </c>
      <c r="F48" s="40" t="n"/>
      <c r="G48" s="40" t="n"/>
      <c r="H48" s="54" t="n"/>
    </row>
    <row r="49" ht="15" customHeight="1" s="27">
      <c r="A49" s="39">
        <f>IF(B49="","",ROW()-2)</f>
        <v/>
      </c>
      <c r="B49" s="50" t="n"/>
      <c r="C49" s="40" t="n"/>
      <c r="D49" s="40" t="n"/>
      <c r="E49" s="53" t="inlineStr">
        <is>
          <t>Chatbot</t>
        </is>
      </c>
      <c r="F49" s="40" t="n"/>
      <c r="G49" s="40" t="n"/>
      <c r="H49" s="54" t="n"/>
    </row>
    <row r="50" ht="15" customHeight="1" s="27">
      <c r="A50" s="39">
        <f>IF(B50="","",ROW()-2)</f>
        <v/>
      </c>
      <c r="B50" s="50" t="n"/>
      <c r="C50" s="40" t="n"/>
      <c r="D50" s="40" t="n"/>
      <c r="E50" s="53" t="inlineStr">
        <is>
          <t>Chatbot</t>
        </is>
      </c>
      <c r="F50" s="40" t="n"/>
      <c r="G50" s="40" t="n"/>
      <c r="H50" s="54" t="n"/>
    </row>
    <row r="51" ht="15" customHeight="1" s="27">
      <c r="A51" s="39">
        <f>IF(B51="","",ROW()-2)</f>
        <v/>
      </c>
      <c r="B51" s="50" t="n"/>
      <c r="C51" s="40" t="n"/>
      <c r="D51" s="40" t="n"/>
      <c r="E51" s="53" t="inlineStr">
        <is>
          <t>Chatbot</t>
        </is>
      </c>
      <c r="F51" s="40" t="n"/>
      <c r="G51" s="40" t="n"/>
      <c r="H51" s="54" t="n"/>
    </row>
    <row r="52" ht="15" customHeight="1" s="27">
      <c r="A52" s="39">
        <f>IF(B52="","",ROW()-2)</f>
        <v/>
      </c>
      <c r="B52" s="50" t="n"/>
      <c r="C52" s="40" t="n"/>
      <c r="D52" s="40" t="n"/>
      <c r="E52" s="53" t="inlineStr">
        <is>
          <t>Chatbot</t>
        </is>
      </c>
      <c r="F52" s="40" t="n"/>
      <c r="G52" s="40" t="n"/>
      <c r="H52" s="54" t="n"/>
    </row>
    <row r="53" ht="15" customHeight="1" s="27">
      <c r="A53" s="39">
        <f>IF(B53="","",ROW()-2)</f>
        <v/>
      </c>
      <c r="B53" s="50" t="n"/>
      <c r="C53" s="40" t="n"/>
      <c r="D53" s="40" t="n"/>
      <c r="E53" s="53" t="inlineStr">
        <is>
          <t>Chatbot</t>
        </is>
      </c>
      <c r="F53" s="40" t="n"/>
      <c r="G53" s="40" t="n"/>
      <c r="H53" s="54" t="n"/>
    </row>
    <row r="54" ht="15" customHeight="1" s="27">
      <c r="A54" s="39">
        <f>IF(B54="","",ROW()-2)</f>
        <v/>
      </c>
      <c r="B54" s="50" t="n"/>
      <c r="C54" s="40" t="n"/>
      <c r="D54" s="40" t="n"/>
      <c r="E54" s="53" t="inlineStr">
        <is>
          <t>Chatbot</t>
        </is>
      </c>
      <c r="F54" s="40" t="n"/>
      <c r="G54" s="40" t="n"/>
      <c r="H54" s="54" t="n"/>
    </row>
    <row r="55" ht="15" customHeight="1" s="27">
      <c r="A55" s="39">
        <f>IF(B55="","",ROW()-2)</f>
        <v/>
      </c>
      <c r="B55" s="50" t="n"/>
      <c r="C55" s="40" t="n"/>
      <c r="D55" s="40" t="n"/>
      <c r="E55" s="53" t="inlineStr">
        <is>
          <t>Chatbot</t>
        </is>
      </c>
      <c r="F55" s="40" t="n"/>
      <c r="G55" s="40" t="n"/>
      <c r="H55" s="54" t="n"/>
    </row>
    <row r="56" ht="15" customHeight="1" s="27">
      <c r="A56" s="39">
        <f>IF(B56="","",ROW()-2)</f>
        <v/>
      </c>
      <c r="B56" s="50" t="n"/>
      <c r="C56" s="40" t="n"/>
      <c r="D56" s="40" t="n"/>
      <c r="E56" s="53" t="inlineStr">
        <is>
          <t>Chatbot</t>
        </is>
      </c>
      <c r="F56" s="40" t="n"/>
      <c r="G56" s="40" t="n"/>
      <c r="H56" s="54" t="n"/>
    </row>
    <row r="57" ht="15" customHeight="1" s="27">
      <c r="A57" s="39">
        <f>IF(B57="","",ROW()-2)</f>
        <v/>
      </c>
      <c r="B57" s="50" t="n"/>
      <c r="C57" s="40" t="n"/>
      <c r="D57" s="40" t="n"/>
      <c r="E57" s="53" t="inlineStr">
        <is>
          <t>Chatbot</t>
        </is>
      </c>
      <c r="F57" s="40" t="n"/>
      <c r="G57" s="40" t="n"/>
      <c r="H57" s="54" t="n"/>
    </row>
    <row r="58" ht="15" customHeight="1" s="27">
      <c r="A58" s="39">
        <f>IF(B58="","",ROW()-2)</f>
        <v/>
      </c>
      <c r="B58" s="50" t="n"/>
      <c r="C58" s="40" t="n"/>
      <c r="D58" s="40" t="n"/>
      <c r="E58" s="53" t="inlineStr">
        <is>
          <t>Chatbot</t>
        </is>
      </c>
      <c r="F58" s="40" t="n"/>
      <c r="G58" s="40" t="n"/>
      <c r="H58" s="54" t="n"/>
    </row>
    <row r="59" ht="15" customHeight="1" s="27">
      <c r="A59" s="39">
        <f>IF(B59="","",ROW()-2)</f>
        <v/>
      </c>
      <c r="B59" s="50" t="n"/>
      <c r="C59" s="40" t="n"/>
      <c r="D59" s="40" t="n"/>
      <c r="E59" s="53" t="inlineStr">
        <is>
          <t>Chatbot</t>
        </is>
      </c>
      <c r="F59" s="40" t="n"/>
      <c r="G59" s="40" t="n"/>
      <c r="H59" s="54" t="n"/>
    </row>
    <row r="60" ht="15" customHeight="1" s="27">
      <c r="A60" s="39">
        <f>IF(B60="","",ROW()-2)</f>
        <v/>
      </c>
      <c r="B60" s="50" t="n"/>
      <c r="C60" s="40" t="n"/>
      <c r="D60" s="40" t="n"/>
      <c r="E60" s="53" t="inlineStr">
        <is>
          <t>Chatbot</t>
        </is>
      </c>
      <c r="F60" s="40" t="n"/>
      <c r="G60" s="40" t="n"/>
      <c r="H60" s="54" t="n"/>
    </row>
    <row r="61" ht="15" customHeight="1" s="27">
      <c r="A61" s="39">
        <f>IF(B61="","",ROW()-2)</f>
        <v/>
      </c>
      <c r="B61" s="50" t="n"/>
      <c r="C61" s="40" t="n"/>
      <c r="D61" s="40" t="n"/>
      <c r="E61" s="53" t="inlineStr">
        <is>
          <t>Chatbot</t>
        </is>
      </c>
      <c r="F61" s="40" t="n"/>
      <c r="G61" s="40" t="n"/>
      <c r="H61" s="54" t="n"/>
    </row>
    <row r="62" ht="15" customHeight="1" s="27">
      <c r="A62" s="39">
        <f>IF(B62="","",ROW()-2)</f>
        <v/>
      </c>
      <c r="B62" s="50" t="n"/>
      <c r="C62" s="40" t="n"/>
      <c r="D62" s="40" t="n"/>
      <c r="E62" s="53" t="inlineStr">
        <is>
          <t>Chatbot</t>
        </is>
      </c>
      <c r="F62" s="40" t="n"/>
      <c r="G62" s="40" t="n"/>
      <c r="H62" s="54" t="n"/>
    </row>
    <row r="63" ht="15" customHeight="1" s="27">
      <c r="A63" s="39">
        <f>IF(B63="","",ROW()-2)</f>
        <v/>
      </c>
      <c r="B63" s="50" t="n"/>
      <c r="C63" s="40" t="n"/>
      <c r="D63" s="40" t="n"/>
      <c r="E63" s="53" t="inlineStr">
        <is>
          <t>Chatbot</t>
        </is>
      </c>
      <c r="F63" s="40" t="n"/>
      <c r="G63" s="40" t="n"/>
      <c r="H63" s="54" t="n"/>
    </row>
    <row r="64" ht="15" customHeight="1" s="27">
      <c r="A64" s="39">
        <f>IF(B64="","",ROW()-2)</f>
        <v/>
      </c>
      <c r="B64" s="50" t="n"/>
      <c r="C64" s="40" t="n"/>
      <c r="D64" s="40" t="n"/>
      <c r="E64" s="53" t="inlineStr">
        <is>
          <t>Chatbot</t>
        </is>
      </c>
      <c r="F64" s="40" t="n"/>
      <c r="G64" s="40" t="n"/>
      <c r="H64" s="54" t="n"/>
    </row>
    <row r="65" ht="15" customHeight="1" s="27">
      <c r="A65" s="39">
        <f>IF(B65="","",ROW()-2)</f>
        <v/>
      </c>
      <c r="B65" s="50" t="n"/>
      <c r="C65" s="40" t="n"/>
      <c r="D65" s="40" t="n"/>
      <c r="E65" s="53" t="inlineStr">
        <is>
          <t>Chatbot</t>
        </is>
      </c>
      <c r="F65" s="40" t="n"/>
      <c r="G65" s="40" t="n"/>
      <c r="H65" s="54" t="n"/>
    </row>
    <row r="66" ht="15" customHeight="1" s="27">
      <c r="A66" s="39">
        <f>IF(B66="","",ROW()-2)</f>
        <v/>
      </c>
      <c r="B66" s="50" t="n"/>
      <c r="C66" s="40" t="n"/>
      <c r="D66" s="40" t="n"/>
      <c r="E66" s="53" t="inlineStr">
        <is>
          <t>Chatbot</t>
        </is>
      </c>
      <c r="F66" s="40" t="n"/>
      <c r="G66" s="40" t="n"/>
      <c r="H66" s="54" t="n"/>
    </row>
    <row r="67" ht="15" customHeight="1" s="27">
      <c r="A67" s="39">
        <f>IF(B67="","",ROW()-2)</f>
        <v/>
      </c>
      <c r="B67" s="50" t="n"/>
      <c r="C67" s="40" t="n"/>
      <c r="D67" s="40" t="n"/>
      <c r="E67" s="53" t="inlineStr">
        <is>
          <t>Chatbot</t>
        </is>
      </c>
      <c r="F67" s="40" t="n"/>
      <c r="G67" s="40" t="n"/>
      <c r="H67" s="54" t="n"/>
    </row>
    <row r="68" ht="15" customHeight="1" s="27">
      <c r="A68" s="39">
        <f>IF(B68="","",ROW()-2)</f>
        <v/>
      </c>
      <c r="B68" s="50" t="n"/>
      <c r="C68" s="40" t="n"/>
      <c r="D68" s="40" t="n"/>
      <c r="E68" s="53" t="inlineStr">
        <is>
          <t>Chatbot</t>
        </is>
      </c>
      <c r="F68" s="40" t="n"/>
      <c r="G68" s="40" t="n"/>
      <c r="H68" s="54" t="n"/>
    </row>
    <row r="69" ht="15" customHeight="1" s="27">
      <c r="A69" s="39">
        <f>IF(B69="","",ROW()-2)</f>
        <v/>
      </c>
      <c r="B69" s="50" t="n"/>
      <c r="C69" s="40" t="n"/>
      <c r="D69" s="40" t="n"/>
      <c r="E69" s="53" t="inlineStr">
        <is>
          <t>Chatbot</t>
        </is>
      </c>
      <c r="F69" s="40" t="n"/>
      <c r="G69" s="40" t="n"/>
      <c r="H69" s="54" t="n"/>
    </row>
    <row r="70" ht="15" customHeight="1" s="27">
      <c r="A70" s="39">
        <f>IF(B70="","",ROW()-2)</f>
        <v/>
      </c>
      <c r="B70" s="50" t="n"/>
      <c r="C70" s="40" t="n"/>
      <c r="D70" s="40" t="n"/>
      <c r="E70" s="53" t="inlineStr">
        <is>
          <t>Chatbot</t>
        </is>
      </c>
      <c r="F70" s="40" t="n"/>
      <c r="G70" s="40" t="n"/>
      <c r="H70" s="54" t="n"/>
    </row>
    <row r="71" ht="15" customHeight="1" s="27">
      <c r="A71" s="39">
        <f>IF(B71="","",ROW()-2)</f>
        <v/>
      </c>
      <c r="B71" s="50" t="n"/>
      <c r="C71" s="40" t="n"/>
      <c r="D71" s="40" t="n"/>
      <c r="E71" s="53" t="inlineStr">
        <is>
          <t>Chatbot</t>
        </is>
      </c>
      <c r="F71" s="40" t="n"/>
      <c r="G71" s="40" t="n"/>
      <c r="H71" s="54" t="n"/>
    </row>
    <row r="72" ht="15" customHeight="1" s="27">
      <c r="A72" s="39">
        <f>IF(B72="","",ROW()-2)</f>
        <v/>
      </c>
      <c r="B72" s="50" t="n"/>
      <c r="C72" s="40" t="n"/>
      <c r="D72" s="40" t="n"/>
      <c r="E72" s="53" t="inlineStr">
        <is>
          <t>Chatbot</t>
        </is>
      </c>
      <c r="F72" s="40" t="n"/>
      <c r="G72" s="40" t="n"/>
      <c r="H72" s="54" t="n"/>
    </row>
    <row r="73" ht="15" customHeight="1" s="27">
      <c r="A73" s="39">
        <f>IF(B73="","",ROW()-2)</f>
        <v/>
      </c>
      <c r="B73" s="50" t="n"/>
      <c r="C73" s="40" t="n"/>
      <c r="D73" s="40" t="n"/>
      <c r="E73" s="53" t="inlineStr">
        <is>
          <t>Chatbot</t>
        </is>
      </c>
      <c r="F73" s="40" t="n"/>
      <c r="G73" s="40" t="n"/>
      <c r="H73" s="54" t="n"/>
    </row>
    <row r="74" ht="15" customHeight="1" s="27">
      <c r="A74" s="39">
        <f>IF(B74="","",ROW()-2)</f>
        <v/>
      </c>
      <c r="B74" s="50" t="n"/>
      <c r="C74" s="40" t="n"/>
      <c r="D74" s="40" t="n"/>
      <c r="E74" s="53" t="inlineStr">
        <is>
          <t>Chatbot</t>
        </is>
      </c>
      <c r="F74" s="40" t="n"/>
      <c r="G74" s="40" t="n"/>
      <c r="H74" s="54" t="n"/>
    </row>
    <row r="75" ht="15" customHeight="1" s="27">
      <c r="A75" s="39">
        <f>IF(B75="","",ROW()-2)</f>
        <v/>
      </c>
      <c r="B75" s="50" t="n"/>
      <c r="C75" s="40" t="n"/>
      <c r="D75" s="40" t="n"/>
      <c r="E75" s="53" t="inlineStr">
        <is>
          <t>Chatbot</t>
        </is>
      </c>
      <c r="F75" s="40" t="n"/>
      <c r="G75" s="40" t="n"/>
      <c r="H75" s="54" t="n"/>
    </row>
    <row r="76" ht="15" customHeight="1" s="27">
      <c r="A76" s="39">
        <f>IF(B76="","",ROW()-2)</f>
        <v/>
      </c>
      <c r="B76" s="50" t="n"/>
      <c r="C76" s="40" t="n"/>
      <c r="D76" s="40" t="n"/>
      <c r="E76" s="53" t="inlineStr">
        <is>
          <t>Chatbot</t>
        </is>
      </c>
      <c r="F76" s="40" t="n"/>
      <c r="G76" s="40" t="n"/>
      <c r="H76" s="54" t="n"/>
    </row>
    <row r="77" ht="15" customHeight="1" s="27">
      <c r="A77" s="39">
        <f>IF(B77="","",ROW()-2)</f>
        <v/>
      </c>
      <c r="B77" s="50" t="n"/>
      <c r="C77" s="40" t="n"/>
      <c r="D77" s="40" t="n"/>
      <c r="E77" s="53" t="inlineStr">
        <is>
          <t>Chatbot</t>
        </is>
      </c>
      <c r="F77" s="40" t="n"/>
      <c r="G77" s="40" t="n"/>
      <c r="H77" s="54" t="n"/>
    </row>
    <row r="78" ht="15" customHeight="1" s="27">
      <c r="A78" s="39">
        <f>IF(B78="","",ROW()-2)</f>
        <v/>
      </c>
      <c r="B78" s="50" t="n"/>
      <c r="C78" s="40" t="n"/>
      <c r="D78" s="40" t="n"/>
      <c r="E78" s="53" t="inlineStr">
        <is>
          <t>Chatbot</t>
        </is>
      </c>
      <c r="F78" s="40" t="n"/>
      <c r="G78" s="40" t="n"/>
      <c r="H78" s="54" t="n"/>
    </row>
    <row r="79" ht="15" customHeight="1" s="27">
      <c r="A79" s="39">
        <f>IF(B79="","",ROW()-2)</f>
        <v/>
      </c>
      <c r="B79" s="50" t="n"/>
      <c r="C79" s="40" t="n"/>
      <c r="D79" s="40" t="n"/>
      <c r="E79" s="53" t="inlineStr">
        <is>
          <t>Chatbot</t>
        </is>
      </c>
      <c r="F79" s="40" t="n"/>
      <c r="G79" s="40" t="n"/>
      <c r="H79" s="54" t="n"/>
    </row>
    <row r="80" ht="15" customHeight="1" s="27">
      <c r="A80" s="39">
        <f>IF(B80="","",ROW()-2)</f>
        <v/>
      </c>
      <c r="B80" s="50" t="n"/>
      <c r="C80" s="40" t="n"/>
      <c r="D80" s="40" t="n"/>
      <c r="E80" s="53" t="inlineStr">
        <is>
          <t>Chatbot</t>
        </is>
      </c>
      <c r="F80" s="40" t="n"/>
      <c r="G80" s="40" t="n"/>
      <c r="H80" s="54" t="n"/>
    </row>
    <row r="81" ht="15" customHeight="1" s="27">
      <c r="A81" s="39">
        <f>IF(B81="","",ROW()-2)</f>
        <v/>
      </c>
      <c r="B81" s="50" t="n"/>
      <c r="C81" s="40" t="n"/>
      <c r="D81" s="40" t="n"/>
      <c r="E81" s="53" t="inlineStr">
        <is>
          <t>Chatbot</t>
        </is>
      </c>
      <c r="F81" s="40" t="n"/>
      <c r="G81" s="40" t="n"/>
      <c r="H81" s="54" t="n"/>
    </row>
    <row r="82" ht="15" customHeight="1" s="27">
      <c r="A82" s="39">
        <f>IF(B82="","",ROW()-2)</f>
        <v/>
      </c>
      <c r="B82" s="50" t="n"/>
      <c r="C82" s="40" t="n"/>
      <c r="D82" s="40" t="n"/>
      <c r="E82" s="53" t="inlineStr">
        <is>
          <t>Chatbot</t>
        </is>
      </c>
      <c r="F82" s="40" t="n"/>
      <c r="G82" s="40" t="n"/>
      <c r="H82" s="54" t="n"/>
    </row>
    <row r="83" ht="15" customHeight="1" s="27">
      <c r="A83" s="39">
        <f>IF(B83="","",ROW()-2)</f>
        <v/>
      </c>
      <c r="B83" s="50" t="n"/>
      <c r="C83" s="40" t="n"/>
      <c r="D83" s="40" t="n"/>
      <c r="E83" s="53" t="inlineStr">
        <is>
          <t>Chatbot</t>
        </is>
      </c>
      <c r="F83" s="40" t="n"/>
      <c r="G83" s="40" t="n"/>
      <c r="H83" s="54" t="n"/>
    </row>
    <row r="84" ht="15" customHeight="1" s="27">
      <c r="A84" s="39">
        <f>IF(B84="","",ROW()-2)</f>
        <v/>
      </c>
      <c r="B84" s="50" t="n"/>
      <c r="C84" s="40" t="n"/>
      <c r="D84" s="40" t="n"/>
      <c r="E84" s="53" t="inlineStr">
        <is>
          <t>Chatbot</t>
        </is>
      </c>
      <c r="F84" s="40" t="n"/>
      <c r="G84" s="40" t="n"/>
      <c r="H84" s="54" t="n"/>
    </row>
    <row r="85" ht="15" customHeight="1" s="27">
      <c r="A85" s="39">
        <f>IF(B85="","",ROW()-2)</f>
        <v/>
      </c>
      <c r="B85" s="50" t="n"/>
      <c r="C85" s="40" t="n"/>
      <c r="D85" s="40" t="n"/>
      <c r="E85" s="53" t="inlineStr">
        <is>
          <t>Chatbot</t>
        </is>
      </c>
      <c r="F85" s="40" t="n"/>
      <c r="G85" s="40" t="n"/>
      <c r="H85" s="54" t="n"/>
    </row>
    <row r="86" ht="15" customHeight="1" s="27">
      <c r="A86" s="39">
        <f>IF(B86="","",ROW()-2)</f>
        <v/>
      </c>
      <c r="B86" s="50" t="n"/>
      <c r="C86" s="40" t="n"/>
      <c r="D86" s="40" t="n"/>
      <c r="E86" s="53" t="inlineStr">
        <is>
          <t>Chatbot</t>
        </is>
      </c>
      <c r="F86" s="40" t="n"/>
      <c r="G86" s="40" t="n"/>
      <c r="H86" s="54" t="n"/>
    </row>
    <row r="87" ht="15" customHeight="1" s="27">
      <c r="A87" s="39">
        <f>IF(B87="","",ROW()-2)</f>
        <v/>
      </c>
      <c r="B87" s="50" t="n"/>
      <c r="C87" s="40" t="n"/>
      <c r="D87" s="40" t="n"/>
      <c r="E87" s="53" t="inlineStr">
        <is>
          <t>Chatbot</t>
        </is>
      </c>
      <c r="F87" s="40" t="n"/>
      <c r="G87" s="40" t="n"/>
      <c r="H87" s="54" t="n"/>
    </row>
    <row r="88" ht="15" customHeight="1" s="27">
      <c r="A88" s="39">
        <f>IF(B88="","",ROW()-2)</f>
        <v/>
      </c>
      <c r="B88" s="50" t="n"/>
      <c r="C88" s="40" t="n"/>
      <c r="D88" s="40" t="n"/>
      <c r="E88" s="53" t="inlineStr">
        <is>
          <t>Chatbot</t>
        </is>
      </c>
      <c r="F88" s="40" t="n"/>
      <c r="G88" s="40" t="n"/>
      <c r="H88" s="54" t="n"/>
    </row>
    <row r="89" ht="15" customHeight="1" s="27">
      <c r="A89" s="39">
        <f>IF(B89="","",ROW()-2)</f>
        <v/>
      </c>
      <c r="B89" s="50" t="n"/>
      <c r="C89" s="40" t="n"/>
      <c r="D89" s="40" t="n"/>
      <c r="E89" s="53" t="inlineStr">
        <is>
          <t>Chatbot</t>
        </is>
      </c>
      <c r="F89" s="40" t="n"/>
      <c r="G89" s="40" t="n"/>
      <c r="H89" s="54" t="n"/>
    </row>
    <row r="90" ht="15" customHeight="1" s="27">
      <c r="A90" s="39">
        <f>IF(B90="","",ROW()-2)</f>
        <v/>
      </c>
      <c r="B90" s="50" t="n"/>
      <c r="C90" s="40" t="n"/>
      <c r="D90" s="40" t="n"/>
      <c r="E90" s="53" t="inlineStr">
        <is>
          <t>Chatbot</t>
        </is>
      </c>
      <c r="F90" s="40" t="n"/>
      <c r="G90" s="40" t="n"/>
      <c r="H90" s="54" t="n"/>
    </row>
    <row r="91" ht="15" customHeight="1" s="27">
      <c r="A91" s="39">
        <f>IF(B91="","",ROW()-2)</f>
        <v/>
      </c>
      <c r="B91" s="50" t="n"/>
      <c r="C91" s="40" t="n"/>
      <c r="D91" s="40" t="n"/>
      <c r="E91" s="53" t="inlineStr">
        <is>
          <t>Chatbot</t>
        </is>
      </c>
      <c r="F91" s="40" t="n"/>
      <c r="G91" s="40" t="n"/>
      <c r="H91" s="54" t="n"/>
    </row>
    <row r="92" ht="15" customHeight="1" s="27">
      <c r="A92" s="39">
        <f>IF(B92="","",ROW()-2)</f>
        <v/>
      </c>
      <c r="B92" s="50" t="n"/>
      <c r="C92" s="40" t="n"/>
      <c r="D92" s="40" t="n"/>
      <c r="E92" s="53" t="inlineStr">
        <is>
          <t>Chatbot</t>
        </is>
      </c>
      <c r="F92" s="40" t="n"/>
      <c r="G92" s="40" t="n"/>
      <c r="H92" s="54" t="n"/>
    </row>
    <row r="93" ht="15" customHeight="1" s="27">
      <c r="A93" s="39">
        <f>IF(B93="","",ROW()-2)</f>
        <v/>
      </c>
      <c r="B93" s="50" t="n"/>
      <c r="C93" s="40" t="n"/>
      <c r="D93" s="40" t="n"/>
      <c r="E93" s="53" t="inlineStr">
        <is>
          <t>Chatbot</t>
        </is>
      </c>
      <c r="F93" s="40" t="n"/>
      <c r="G93" s="40" t="n"/>
      <c r="H93" s="54" t="n"/>
    </row>
    <row r="94" ht="15" customHeight="1" s="27">
      <c r="A94" s="39">
        <f>IF(B94="","",ROW()-2)</f>
        <v/>
      </c>
      <c r="B94" s="50" t="n"/>
      <c r="C94" s="40" t="n"/>
      <c r="D94" s="40" t="n"/>
      <c r="E94" s="53" t="inlineStr">
        <is>
          <t>Chatbot</t>
        </is>
      </c>
      <c r="F94" s="40" t="n"/>
      <c r="G94" s="40" t="n"/>
      <c r="H94" s="54" t="n"/>
    </row>
    <row r="95" ht="15" customHeight="1" s="27">
      <c r="A95" s="39">
        <f>IF(B95="","",ROW()-2)</f>
        <v/>
      </c>
      <c r="B95" s="50" t="n"/>
      <c r="C95" s="40" t="n"/>
      <c r="D95" s="40" t="n"/>
      <c r="E95" s="53" t="inlineStr">
        <is>
          <t>Chatbot</t>
        </is>
      </c>
      <c r="F95" s="40" t="n"/>
      <c r="G95" s="40" t="n"/>
      <c r="H95" s="54" t="n"/>
    </row>
    <row r="96" ht="15" customHeight="1" s="27">
      <c r="A96" s="39">
        <f>IF(B96="","",ROW()-2)</f>
        <v/>
      </c>
      <c r="B96" s="50" t="n"/>
      <c r="C96" s="40" t="n"/>
      <c r="D96" s="40" t="n"/>
      <c r="E96" s="53" t="inlineStr">
        <is>
          <t>Chatbot</t>
        </is>
      </c>
      <c r="F96" s="40" t="n"/>
      <c r="G96" s="40" t="n"/>
      <c r="H96" s="54" t="n"/>
    </row>
    <row r="97" ht="15" customHeight="1" s="27">
      <c r="A97" s="39">
        <f>IF(B97="","",ROW()-2)</f>
        <v/>
      </c>
      <c r="B97" s="50" t="n"/>
      <c r="C97" s="40" t="n"/>
      <c r="D97" s="40" t="n"/>
      <c r="E97" s="53" t="inlineStr">
        <is>
          <t>Chatbot</t>
        </is>
      </c>
      <c r="F97" s="40" t="n"/>
      <c r="G97" s="40" t="n"/>
      <c r="H97" s="54" t="n"/>
    </row>
    <row r="98" ht="15" customHeight="1" s="27">
      <c r="A98" s="39">
        <f>IF(B98="","",ROW()-2)</f>
        <v/>
      </c>
      <c r="B98" s="50" t="n"/>
      <c r="C98" s="40" t="n"/>
      <c r="D98" s="40" t="n"/>
      <c r="E98" s="53" t="inlineStr">
        <is>
          <t>Chatbot</t>
        </is>
      </c>
      <c r="F98" s="40" t="n"/>
      <c r="G98" s="40" t="n"/>
      <c r="H98" s="54" t="n"/>
    </row>
    <row r="99" ht="15" customHeight="1" s="27">
      <c r="A99" s="39">
        <f>IF(B99="","",ROW()-2)</f>
        <v/>
      </c>
      <c r="B99" s="50" t="n"/>
      <c r="C99" s="40" t="n"/>
      <c r="D99" s="40" t="n"/>
      <c r="E99" s="53" t="inlineStr">
        <is>
          <t>Chatbot</t>
        </is>
      </c>
      <c r="F99" s="40" t="n"/>
      <c r="G99" s="40" t="n"/>
      <c r="H99" s="54" t="n"/>
    </row>
    <row r="100" ht="15" customHeight="1" s="27">
      <c r="A100" s="39">
        <f>IF(B100="","",ROW()-2)</f>
        <v/>
      </c>
      <c r="B100" s="50" t="n"/>
      <c r="C100" s="40" t="n"/>
      <c r="D100" s="40" t="n"/>
      <c r="E100" s="53" t="inlineStr">
        <is>
          <t>Chatbot</t>
        </is>
      </c>
      <c r="F100" s="40" t="n"/>
      <c r="G100" s="40" t="n"/>
      <c r="H100" s="54" t="n"/>
    </row>
    <row r="101" ht="15" customHeight="1" s="27">
      <c r="A101" s="39">
        <f>IF(B101="","",ROW()-2)</f>
        <v/>
      </c>
      <c r="B101" s="50" t="n"/>
      <c r="C101" s="40" t="n"/>
      <c r="D101" s="40" t="n"/>
      <c r="E101" s="53" t="inlineStr">
        <is>
          <t>Chatbot</t>
        </is>
      </c>
      <c r="F101" s="40" t="n"/>
      <c r="G101" s="40" t="n"/>
      <c r="H101" s="54" t="n"/>
    </row>
    <row r="102" ht="15" customHeight="1" s="27">
      <c r="A102" s="39">
        <f>IF(B102="","",ROW()-2)</f>
        <v/>
      </c>
      <c r="B102" s="50" t="n"/>
      <c r="C102" s="40" t="n"/>
      <c r="D102" s="40" t="n"/>
      <c r="E102" s="53" t="inlineStr">
        <is>
          <t>Chatbot</t>
        </is>
      </c>
      <c r="F102" s="40" t="n"/>
      <c r="G102" s="40" t="n"/>
      <c r="H102" s="54" t="n"/>
    </row>
    <row r="103" ht="15" customHeight="1" s="27">
      <c r="A103" s="39">
        <f>IF(B103="","",ROW()-2)</f>
        <v/>
      </c>
      <c r="B103" s="50" t="n"/>
      <c r="C103" s="40" t="n"/>
      <c r="D103" s="40" t="n"/>
      <c r="E103" s="53" t="inlineStr">
        <is>
          <t>Chatbot</t>
        </is>
      </c>
      <c r="F103" s="40" t="n"/>
      <c r="G103" s="40" t="n"/>
      <c r="H103" s="54" t="n"/>
    </row>
    <row r="104" ht="15" customHeight="1" s="27">
      <c r="A104" s="39">
        <f>IF(B104="","",ROW()-2)</f>
        <v/>
      </c>
      <c r="B104" s="50" t="n"/>
      <c r="C104" s="40" t="n"/>
      <c r="D104" s="40" t="n"/>
      <c r="E104" s="53" t="inlineStr">
        <is>
          <t>Chatbot</t>
        </is>
      </c>
      <c r="F104" s="40" t="n"/>
      <c r="G104" s="40" t="n"/>
      <c r="H104" s="54" t="n"/>
    </row>
    <row r="105" ht="15" customHeight="1" s="27">
      <c r="A105" s="39">
        <f>IF(B105="","",ROW()-2)</f>
        <v/>
      </c>
      <c r="B105" s="50" t="n"/>
      <c r="C105" s="40" t="n"/>
      <c r="D105" s="40" t="n"/>
      <c r="E105" s="53" t="inlineStr">
        <is>
          <t>Chatbot</t>
        </is>
      </c>
      <c r="F105" s="40" t="n"/>
      <c r="G105" s="40" t="n"/>
      <c r="H105" s="54" t="n"/>
    </row>
    <row r="106" ht="15" customHeight="1" s="27">
      <c r="A106" s="39">
        <f>IF(B106="","",ROW()-2)</f>
        <v/>
      </c>
      <c r="B106" s="50" t="n"/>
      <c r="C106" s="40" t="n"/>
      <c r="D106" s="40" t="n"/>
      <c r="E106" s="53" t="inlineStr">
        <is>
          <t>Chatbot</t>
        </is>
      </c>
      <c r="F106" s="40" t="n"/>
      <c r="G106" s="40" t="n"/>
      <c r="H106" s="54" t="n"/>
    </row>
    <row r="107" ht="15" customHeight="1" s="27">
      <c r="A107" s="39">
        <f>IF(B107="","",ROW()-2)</f>
        <v/>
      </c>
      <c r="B107" s="50" t="n"/>
      <c r="C107" s="40" t="n"/>
      <c r="D107" s="40" t="n"/>
      <c r="E107" s="53" t="inlineStr">
        <is>
          <t>Chatbot</t>
        </is>
      </c>
      <c r="F107" s="40" t="n"/>
      <c r="G107" s="40" t="n"/>
      <c r="H107" s="54" t="n"/>
    </row>
    <row r="108" ht="15" customHeight="1" s="27">
      <c r="A108" s="39">
        <f>IF(B108="","",ROW()-2)</f>
        <v/>
      </c>
      <c r="B108" s="50" t="n"/>
      <c r="C108" s="40" t="n"/>
      <c r="D108" s="40" t="n"/>
      <c r="E108" s="53" t="inlineStr">
        <is>
          <t>Chatbot</t>
        </is>
      </c>
      <c r="F108" s="40" t="n"/>
      <c r="G108" s="40" t="n"/>
      <c r="H108" s="54" t="n"/>
    </row>
    <row r="109" ht="15" customHeight="1" s="27">
      <c r="A109" s="39">
        <f>IF(B109="","",ROW()-2)</f>
        <v/>
      </c>
      <c r="B109" s="50" t="n"/>
      <c r="C109" s="40" t="n"/>
      <c r="D109" s="40" t="n"/>
      <c r="E109" s="53" t="inlineStr">
        <is>
          <t>Chatbot</t>
        </is>
      </c>
      <c r="F109" s="40" t="n"/>
      <c r="G109" s="40" t="n"/>
      <c r="H109" s="54" t="n"/>
    </row>
    <row r="110" ht="15" customHeight="1" s="27">
      <c r="A110" s="39">
        <f>IF(B110="","",ROW()-2)</f>
        <v/>
      </c>
      <c r="B110" s="50" t="n"/>
      <c r="C110" s="40" t="n"/>
      <c r="D110" s="40" t="n"/>
      <c r="E110" s="53" t="inlineStr">
        <is>
          <t>Chatbot</t>
        </is>
      </c>
      <c r="F110" s="40" t="n"/>
      <c r="G110" s="40" t="n"/>
      <c r="H110" s="54" t="n"/>
    </row>
    <row r="111" ht="15" customHeight="1" s="27">
      <c r="A111" s="39">
        <f>IF(B111="","",ROW()-2)</f>
        <v/>
      </c>
      <c r="B111" s="50" t="n"/>
      <c r="C111" s="40" t="n"/>
      <c r="D111" s="40" t="n"/>
      <c r="E111" s="53" t="inlineStr">
        <is>
          <t>Chatbot</t>
        </is>
      </c>
      <c r="F111" s="40" t="n"/>
      <c r="G111" s="40" t="n"/>
      <c r="H111" s="54" t="n"/>
    </row>
    <row r="112" ht="15" customHeight="1" s="27">
      <c r="A112" s="39">
        <f>IF(B112="","",ROW()-2)</f>
        <v/>
      </c>
      <c r="B112" s="50" t="n"/>
      <c r="C112" s="40" t="n"/>
      <c r="D112" s="40" t="n"/>
      <c r="E112" s="53" t="inlineStr">
        <is>
          <t>Chatbot</t>
        </is>
      </c>
      <c r="F112" s="40" t="n"/>
      <c r="G112" s="40" t="n"/>
      <c r="H112" s="54" t="n"/>
    </row>
    <row r="113" ht="15" customHeight="1" s="27">
      <c r="A113" s="39">
        <f>IF(B113="","",ROW()-2)</f>
        <v/>
      </c>
      <c r="B113" s="50" t="n"/>
      <c r="C113" s="40" t="n"/>
      <c r="D113" s="40" t="n"/>
      <c r="E113" s="53" t="inlineStr">
        <is>
          <t>Chatbot</t>
        </is>
      </c>
      <c r="F113" s="40" t="n"/>
      <c r="G113" s="40" t="n"/>
      <c r="H113" s="54" t="n"/>
    </row>
    <row r="114" ht="15" customHeight="1" s="27">
      <c r="A114" s="39">
        <f>IF(B114="","",ROW()-2)</f>
        <v/>
      </c>
      <c r="B114" s="50" t="n"/>
      <c r="C114" s="40" t="n"/>
      <c r="D114" s="40" t="n"/>
      <c r="E114" s="53" t="inlineStr">
        <is>
          <t>Chatbot</t>
        </is>
      </c>
      <c r="F114" s="40" t="n"/>
      <c r="G114" s="40" t="n"/>
      <c r="H114" s="54" t="n"/>
    </row>
    <row r="115" ht="15" customHeight="1" s="27">
      <c r="A115" s="39">
        <f>IF(B115="","",ROW()-2)</f>
        <v/>
      </c>
      <c r="B115" s="50" t="n"/>
      <c r="C115" s="40" t="n"/>
      <c r="D115" s="40" t="n"/>
      <c r="E115" s="53" t="inlineStr">
        <is>
          <t>Chatbot</t>
        </is>
      </c>
      <c r="F115" s="40" t="n"/>
      <c r="G115" s="40" t="n"/>
      <c r="H115" s="54" t="n"/>
    </row>
    <row r="116" ht="15" customHeight="1" s="27">
      <c r="A116" s="39">
        <f>IF(B116="","",ROW()-2)</f>
        <v/>
      </c>
      <c r="B116" s="50" t="n"/>
      <c r="C116" s="40" t="n"/>
      <c r="D116" s="40" t="n"/>
      <c r="E116" s="53" t="inlineStr">
        <is>
          <t>Chatbot</t>
        </is>
      </c>
      <c r="F116" s="40" t="n"/>
      <c r="G116" s="40" t="n"/>
      <c r="H116" s="54" t="n"/>
    </row>
    <row r="117" ht="15" customHeight="1" s="27">
      <c r="A117" s="39">
        <f>IF(B117="","",ROW()-2)</f>
        <v/>
      </c>
      <c r="B117" s="50" t="n"/>
      <c r="C117" s="40" t="n"/>
      <c r="D117" s="40" t="n"/>
      <c r="E117" s="53" t="inlineStr">
        <is>
          <t>Chatbot</t>
        </is>
      </c>
      <c r="F117" s="40" t="n"/>
      <c r="G117" s="40" t="n"/>
      <c r="H117" s="54" t="n"/>
    </row>
    <row r="118" ht="15" customHeight="1" s="27">
      <c r="A118" s="39">
        <f>IF(B118="","",ROW()-2)</f>
        <v/>
      </c>
      <c r="B118" s="50" t="n"/>
      <c r="C118" s="40" t="n"/>
      <c r="D118" s="40" t="n"/>
      <c r="E118" s="53" t="inlineStr">
        <is>
          <t>Chatbot</t>
        </is>
      </c>
      <c r="F118" s="40" t="n"/>
      <c r="G118" s="40" t="n"/>
      <c r="H118" s="54" t="n"/>
    </row>
    <row r="119" ht="15" customHeight="1" s="27">
      <c r="A119" s="39">
        <f>IF(B119="","",ROW()-2)</f>
        <v/>
      </c>
      <c r="B119" s="50" t="n"/>
      <c r="C119" s="40" t="n"/>
      <c r="D119" s="40" t="n"/>
      <c r="E119" s="53" t="inlineStr">
        <is>
          <t>Chatbot</t>
        </is>
      </c>
      <c r="F119" s="40" t="n"/>
      <c r="G119" s="40" t="n"/>
      <c r="H119" s="54" t="n"/>
    </row>
    <row r="120" ht="15" customHeight="1" s="27">
      <c r="A120" s="39">
        <f>IF(B120="","",ROW()-2)</f>
        <v/>
      </c>
      <c r="B120" s="50" t="n"/>
      <c r="C120" s="40" t="n"/>
      <c r="D120" s="40" t="n"/>
      <c r="E120" s="53" t="inlineStr">
        <is>
          <t>Chatbot</t>
        </is>
      </c>
      <c r="F120" s="40" t="n"/>
      <c r="G120" s="40" t="n"/>
      <c r="H120" s="54" t="n"/>
    </row>
    <row r="121" ht="15" customHeight="1" s="27">
      <c r="A121" s="39">
        <f>IF(B121="","",ROW()-2)</f>
        <v/>
      </c>
      <c r="B121" s="50" t="n"/>
      <c r="C121" s="40" t="n"/>
      <c r="D121" s="40" t="n"/>
      <c r="E121" s="53" t="inlineStr">
        <is>
          <t>Chatbot</t>
        </is>
      </c>
      <c r="F121" s="40" t="n"/>
      <c r="G121" s="40" t="n"/>
      <c r="H121" s="54" t="n"/>
    </row>
    <row r="122" ht="15" customHeight="1" s="27">
      <c r="A122" s="39">
        <f>IF(B122="","",ROW()-2)</f>
        <v/>
      </c>
      <c r="B122" s="50" t="n"/>
      <c r="C122" s="40" t="n"/>
      <c r="D122" s="40" t="n"/>
      <c r="E122" s="53" t="inlineStr">
        <is>
          <t>Chatbot</t>
        </is>
      </c>
      <c r="F122" s="40" t="n"/>
      <c r="G122" s="40" t="n"/>
      <c r="H122" s="54" t="n"/>
    </row>
    <row r="123" ht="15" customHeight="1" s="27">
      <c r="A123" s="39">
        <f>IF(B123="","",ROW()-2)</f>
        <v/>
      </c>
      <c r="B123" s="50" t="n"/>
      <c r="C123" s="40" t="n"/>
      <c r="D123" s="40" t="n"/>
      <c r="E123" s="53" t="inlineStr">
        <is>
          <t>Chatbot</t>
        </is>
      </c>
      <c r="F123" s="40" t="n"/>
      <c r="G123" s="40" t="n"/>
      <c r="H123" s="54" t="n"/>
    </row>
    <row r="124" ht="15" customHeight="1" s="27">
      <c r="A124" s="39">
        <f>IF(B124="","",ROW()-2)</f>
        <v/>
      </c>
      <c r="B124" s="50" t="n"/>
      <c r="C124" s="40" t="n"/>
      <c r="D124" s="40" t="n"/>
      <c r="E124" s="53" t="inlineStr">
        <is>
          <t>Chatbot</t>
        </is>
      </c>
      <c r="F124" s="40" t="n"/>
      <c r="G124" s="40" t="n"/>
      <c r="H124" s="54" t="n"/>
    </row>
    <row r="125" ht="15" customHeight="1" s="27">
      <c r="A125" s="39">
        <f>IF(B125="","",ROW()-2)</f>
        <v/>
      </c>
      <c r="B125" s="50" t="n"/>
      <c r="C125" s="40" t="n"/>
      <c r="D125" s="40" t="n"/>
      <c r="E125" s="53" t="inlineStr">
        <is>
          <t>Chatbot</t>
        </is>
      </c>
      <c r="F125" s="40" t="n"/>
      <c r="G125" s="40" t="n"/>
      <c r="H125" s="54" t="n"/>
    </row>
    <row r="126" ht="15" customHeight="1" s="27">
      <c r="A126" s="39">
        <f>IF(B126="","",ROW()-2)</f>
        <v/>
      </c>
      <c r="B126" s="50" t="n"/>
      <c r="C126" s="40" t="n"/>
      <c r="D126" s="40" t="n"/>
      <c r="E126" s="53" t="inlineStr">
        <is>
          <t>Chatbot</t>
        </is>
      </c>
      <c r="F126" s="40" t="n"/>
      <c r="G126" s="40" t="n"/>
      <c r="H126" s="54" t="n"/>
    </row>
    <row r="127" ht="15" customHeight="1" s="27">
      <c r="A127" s="39">
        <f>IF(B127="","",ROW()-2)</f>
        <v/>
      </c>
      <c r="B127" s="50" t="n"/>
      <c r="C127" s="40" t="n"/>
      <c r="D127" s="40" t="n"/>
      <c r="E127" s="53" t="inlineStr">
        <is>
          <t>Chatbot</t>
        </is>
      </c>
      <c r="F127" s="40" t="n"/>
      <c r="G127" s="40" t="n"/>
      <c r="H127" s="54" t="n"/>
    </row>
    <row r="128" ht="15" customHeight="1" s="27">
      <c r="A128" s="39">
        <f>IF(B128="","",ROW()-2)</f>
        <v/>
      </c>
      <c r="B128" s="50" t="n"/>
      <c r="C128" s="40" t="n"/>
      <c r="D128" s="40" t="n"/>
      <c r="E128" s="53" t="inlineStr">
        <is>
          <t>Chatbot</t>
        </is>
      </c>
      <c r="F128" s="40" t="n"/>
      <c r="G128" s="40" t="n"/>
      <c r="H128" s="54" t="n"/>
    </row>
    <row r="129" ht="15" customHeight="1" s="27">
      <c r="A129" s="39">
        <f>IF(B129="","",ROW()-2)</f>
        <v/>
      </c>
      <c r="B129" s="50" t="n"/>
      <c r="C129" s="40" t="n"/>
      <c r="D129" s="40" t="n"/>
      <c r="E129" s="53" t="inlineStr">
        <is>
          <t>Chatbot</t>
        </is>
      </c>
      <c r="F129" s="40" t="n"/>
      <c r="G129" s="40" t="n"/>
      <c r="H129" s="54" t="n"/>
    </row>
    <row r="130" ht="15" customHeight="1" s="27">
      <c r="A130" s="39">
        <f>IF(B130="","",ROW()-2)</f>
        <v/>
      </c>
      <c r="B130" s="50" t="n"/>
      <c r="C130" s="40" t="n"/>
      <c r="D130" s="40" t="n"/>
      <c r="E130" s="53" t="inlineStr">
        <is>
          <t>Chatbot</t>
        </is>
      </c>
      <c r="F130" s="40" t="n"/>
      <c r="G130" s="40" t="n"/>
      <c r="H130" s="54" t="n"/>
    </row>
    <row r="131" ht="15" customHeight="1" s="27">
      <c r="A131" s="39">
        <f>IF(B131="","",ROW()-2)</f>
        <v/>
      </c>
      <c r="B131" s="50" t="n"/>
      <c r="C131" s="40" t="n"/>
      <c r="D131" s="40" t="n"/>
      <c r="E131" s="53" t="inlineStr">
        <is>
          <t>Chatbot</t>
        </is>
      </c>
      <c r="F131" s="40" t="n"/>
      <c r="G131" s="40" t="n"/>
      <c r="H131" s="54" t="n"/>
    </row>
    <row r="132" ht="15" customHeight="1" s="27">
      <c r="A132" s="39">
        <f>IF(B132="","",ROW()-2)</f>
        <v/>
      </c>
      <c r="B132" s="50" t="n"/>
      <c r="C132" s="40" t="n"/>
      <c r="D132" s="40" t="n"/>
      <c r="E132" s="53" t="inlineStr">
        <is>
          <t>Chatbot</t>
        </is>
      </c>
      <c r="F132" s="40" t="n"/>
      <c r="G132" s="40" t="n"/>
      <c r="H132" s="54" t="n"/>
    </row>
    <row r="133" ht="15" customHeight="1" s="27">
      <c r="A133" s="39">
        <f>IF(B133="","",ROW()-2)</f>
        <v/>
      </c>
      <c r="B133" s="50" t="n"/>
      <c r="C133" s="40" t="n"/>
      <c r="D133" s="40" t="n"/>
      <c r="E133" s="53" t="inlineStr">
        <is>
          <t>Chatbot</t>
        </is>
      </c>
      <c r="F133" s="40" t="n"/>
      <c r="G133" s="40" t="n"/>
      <c r="H133" s="54" t="n"/>
    </row>
    <row r="134" ht="15" customHeight="1" s="27">
      <c r="A134" s="39">
        <f>IF(B134="","",ROW()-2)</f>
        <v/>
      </c>
      <c r="B134" s="50" t="n"/>
      <c r="C134" s="40" t="n"/>
      <c r="D134" s="40" t="n"/>
      <c r="E134" s="53" t="inlineStr">
        <is>
          <t>Chatbot</t>
        </is>
      </c>
      <c r="F134" s="40" t="n"/>
      <c r="G134" s="40" t="n"/>
      <c r="H134" s="54" t="n"/>
    </row>
    <row r="135" ht="15" customHeight="1" s="27">
      <c r="A135" s="39">
        <f>IF(B135="","",ROW()-2)</f>
        <v/>
      </c>
      <c r="B135" s="50" t="n"/>
      <c r="C135" s="40" t="n"/>
      <c r="D135" s="40" t="n"/>
      <c r="E135" s="53" t="inlineStr">
        <is>
          <t>Chatbot</t>
        </is>
      </c>
      <c r="F135" s="40" t="n"/>
      <c r="G135" s="40" t="n"/>
      <c r="H135" s="54" t="n"/>
    </row>
    <row r="136" ht="15" customHeight="1" s="27">
      <c r="A136" s="39">
        <f>IF(B136="","",ROW()-2)</f>
        <v/>
      </c>
      <c r="B136" s="50" t="n"/>
      <c r="C136" s="40" t="n"/>
      <c r="D136" s="40" t="n"/>
      <c r="E136" s="53" t="inlineStr">
        <is>
          <t>Chatbot</t>
        </is>
      </c>
      <c r="F136" s="40" t="n"/>
      <c r="G136" s="40" t="n"/>
      <c r="H136" s="54" t="n"/>
    </row>
    <row r="137" ht="15" customHeight="1" s="27">
      <c r="A137" s="39">
        <f>IF(B137="","",ROW()-2)</f>
        <v/>
      </c>
      <c r="B137" s="50" t="n"/>
      <c r="C137" s="40" t="n"/>
      <c r="D137" s="40" t="n"/>
      <c r="E137" s="53" t="inlineStr">
        <is>
          <t>Chatbot</t>
        </is>
      </c>
      <c r="F137" s="40" t="n"/>
      <c r="G137" s="40" t="n"/>
      <c r="H137" s="54" t="n"/>
    </row>
    <row r="138" ht="15" customHeight="1" s="27">
      <c r="A138" s="39">
        <f>IF(B138="","",ROW()-2)</f>
        <v/>
      </c>
      <c r="B138" s="50" t="n"/>
      <c r="C138" s="40" t="n"/>
      <c r="D138" s="40" t="n"/>
      <c r="E138" s="53" t="inlineStr">
        <is>
          <t>Chatbot</t>
        </is>
      </c>
      <c r="F138" s="40" t="n"/>
      <c r="G138" s="40" t="n"/>
      <c r="H138" s="54" t="n"/>
    </row>
    <row r="139" ht="15" customHeight="1" s="27">
      <c r="A139" s="39">
        <f>IF(B139="","",ROW()-2)</f>
        <v/>
      </c>
      <c r="B139" s="50" t="n"/>
      <c r="C139" s="40" t="n"/>
      <c r="D139" s="40" t="n"/>
      <c r="E139" s="53" t="inlineStr">
        <is>
          <t>Chatbot</t>
        </is>
      </c>
      <c r="F139" s="40" t="n"/>
      <c r="G139" s="40" t="n"/>
      <c r="H139" s="54" t="n"/>
    </row>
    <row r="140" ht="15" customHeight="1" s="27">
      <c r="A140" s="39">
        <f>IF(B140="","",ROW()-2)</f>
        <v/>
      </c>
      <c r="B140" s="50" t="n"/>
      <c r="C140" s="40" t="n"/>
      <c r="D140" s="40" t="n"/>
      <c r="E140" s="53" t="inlineStr">
        <is>
          <t>Chatbot</t>
        </is>
      </c>
      <c r="F140" s="40" t="n"/>
      <c r="G140" s="40" t="n"/>
      <c r="H140" s="54" t="n"/>
    </row>
    <row r="141" ht="15" customHeight="1" s="27">
      <c r="A141" s="39">
        <f>IF(B141="","",ROW()-2)</f>
        <v/>
      </c>
      <c r="B141" s="50" t="n"/>
      <c r="C141" s="40" t="n"/>
      <c r="D141" s="40" t="n"/>
      <c r="E141" s="53" t="inlineStr">
        <is>
          <t>Chatbot</t>
        </is>
      </c>
      <c r="F141" s="40" t="n"/>
      <c r="G141" s="40" t="n"/>
      <c r="H141" s="54" t="n"/>
    </row>
    <row r="142" ht="15" customHeight="1" s="27">
      <c r="A142" s="39">
        <f>IF(B142="","",ROW()-2)</f>
        <v/>
      </c>
      <c r="B142" s="50" t="n"/>
      <c r="C142" s="40" t="n"/>
      <c r="D142" s="40" t="n"/>
      <c r="E142" s="53" t="inlineStr">
        <is>
          <t>Chatbot</t>
        </is>
      </c>
      <c r="F142" s="40" t="n"/>
      <c r="G142" s="40" t="n"/>
      <c r="H142" s="54" t="n"/>
    </row>
    <row r="143" ht="15" customHeight="1" s="27">
      <c r="A143" s="39">
        <f>IF(B143="","",ROW()-2)</f>
        <v/>
      </c>
      <c r="B143" s="50" t="n"/>
      <c r="C143" s="40" t="n"/>
      <c r="D143" s="40" t="n"/>
      <c r="E143" s="53" t="inlineStr">
        <is>
          <t>Chatbot</t>
        </is>
      </c>
      <c r="F143" s="40" t="n"/>
      <c r="G143" s="40" t="n"/>
      <c r="H143" s="54" t="n"/>
    </row>
    <row r="144" ht="15" customHeight="1" s="27">
      <c r="A144" s="39">
        <f>IF(B144="","",ROW()-2)</f>
        <v/>
      </c>
      <c r="B144" s="50" t="n"/>
      <c r="C144" s="40" t="n"/>
      <c r="D144" s="40" t="n"/>
      <c r="E144" s="53" t="inlineStr">
        <is>
          <t>Chatbot</t>
        </is>
      </c>
      <c r="F144" s="40" t="n"/>
      <c r="G144" s="40" t="n"/>
      <c r="H144" s="54" t="n"/>
    </row>
    <row r="145" ht="15" customHeight="1" s="27">
      <c r="A145" s="39">
        <f>IF(B145="","",ROW()-2)</f>
        <v/>
      </c>
      <c r="B145" s="50" t="n"/>
      <c r="C145" s="40" t="n"/>
      <c r="D145" s="40" t="n"/>
      <c r="E145" s="53" t="inlineStr">
        <is>
          <t>Chatbot</t>
        </is>
      </c>
      <c r="F145" s="40" t="n"/>
      <c r="G145" s="40" t="n"/>
      <c r="H145" s="54" t="n"/>
    </row>
    <row r="146" ht="15" customHeight="1" s="27">
      <c r="A146" s="39">
        <f>IF(B146="","",ROW()-2)</f>
        <v/>
      </c>
      <c r="B146" s="50" t="n"/>
      <c r="C146" s="40" t="n"/>
      <c r="D146" s="40" t="n"/>
      <c r="E146" s="53" t="inlineStr">
        <is>
          <t>Chatbot</t>
        </is>
      </c>
      <c r="F146" s="40" t="n"/>
      <c r="G146" s="40" t="n"/>
      <c r="H146" s="54" t="n"/>
    </row>
    <row r="147" ht="15" customHeight="1" s="27">
      <c r="A147" s="39">
        <f>IF(B147="","",ROW()-2)</f>
        <v/>
      </c>
      <c r="B147" s="50" t="n"/>
      <c r="C147" s="40" t="n"/>
      <c r="D147" s="40" t="n"/>
      <c r="E147" s="53" t="inlineStr">
        <is>
          <t>Chatbot</t>
        </is>
      </c>
      <c r="F147" s="40" t="n"/>
      <c r="G147" s="40" t="n"/>
      <c r="H147" s="54" t="n"/>
    </row>
    <row r="148" ht="15" customHeight="1" s="27">
      <c r="A148" s="39">
        <f>IF(B148="","",ROW()-2)</f>
        <v/>
      </c>
      <c r="B148" s="50" t="n"/>
      <c r="C148" s="40" t="n"/>
      <c r="D148" s="40" t="n"/>
      <c r="E148" s="53" t="inlineStr">
        <is>
          <t>Chatbot</t>
        </is>
      </c>
      <c r="F148" s="40" t="n"/>
      <c r="G148" s="40" t="n"/>
      <c r="H148" s="54" t="n"/>
    </row>
    <row r="149" ht="15" customHeight="1" s="27">
      <c r="A149" s="39">
        <f>IF(B149="","",ROW()-2)</f>
        <v/>
      </c>
      <c r="B149" s="50" t="n"/>
      <c r="C149" s="40" t="n"/>
      <c r="D149" s="40" t="n"/>
      <c r="E149" s="53" t="inlineStr">
        <is>
          <t>Chatbot</t>
        </is>
      </c>
      <c r="F149" s="40" t="n"/>
      <c r="G149" s="40" t="n"/>
      <c r="H149" s="54" t="n"/>
    </row>
    <row r="150" ht="15" customHeight="1" s="27">
      <c r="A150" s="39">
        <f>IF(B150="","",ROW()-2)</f>
        <v/>
      </c>
      <c r="B150" s="50" t="n"/>
      <c r="C150" s="40" t="n"/>
      <c r="D150" s="40" t="n"/>
      <c r="E150" s="53" t="inlineStr">
        <is>
          <t>Chatbot</t>
        </is>
      </c>
      <c r="F150" s="40" t="n"/>
      <c r="G150" s="40" t="n"/>
      <c r="H150" s="54" t="n"/>
    </row>
    <row r="151" ht="15" customHeight="1" s="27">
      <c r="A151" s="39">
        <f>IF(B151="","",ROW()-2)</f>
        <v/>
      </c>
      <c r="B151" s="50" t="n"/>
      <c r="C151" s="40" t="n"/>
      <c r="D151" s="40" t="n"/>
      <c r="E151" s="53" t="inlineStr">
        <is>
          <t>Chatbot</t>
        </is>
      </c>
      <c r="F151" s="40" t="n"/>
      <c r="G151" s="40" t="n"/>
      <c r="H151" s="54" t="n"/>
    </row>
    <row r="152" ht="15" customHeight="1" s="27">
      <c r="A152" s="39">
        <f>IF(B152="","",ROW()-2)</f>
        <v/>
      </c>
      <c r="B152" s="50" t="n"/>
      <c r="C152" s="40" t="n"/>
      <c r="D152" s="40" t="n"/>
      <c r="E152" s="53" t="inlineStr">
        <is>
          <t>Chatbot</t>
        </is>
      </c>
      <c r="F152" s="40" t="n"/>
      <c r="G152" s="40" t="n"/>
      <c r="H152" s="54" t="n"/>
    </row>
    <row r="153" ht="15" customHeight="1" s="27">
      <c r="A153" s="39">
        <f>IF(B153="","",ROW()-2)</f>
        <v/>
      </c>
      <c r="B153" s="50" t="n"/>
      <c r="C153" s="40" t="n"/>
      <c r="D153" s="40" t="n"/>
      <c r="E153" s="53" t="inlineStr">
        <is>
          <t>Chatbot</t>
        </is>
      </c>
      <c r="F153" s="40" t="n"/>
      <c r="G153" s="40" t="n"/>
      <c r="H153" s="54" t="n"/>
    </row>
    <row r="154" ht="15" customHeight="1" s="27">
      <c r="A154" s="39">
        <f>IF(B154="","",ROW()-2)</f>
        <v/>
      </c>
      <c r="B154" s="50" t="n"/>
      <c r="C154" s="40" t="n"/>
      <c r="D154" s="40" t="n"/>
      <c r="E154" s="53" t="inlineStr">
        <is>
          <t>Chatbot</t>
        </is>
      </c>
      <c r="F154" s="40" t="n"/>
      <c r="G154" s="40" t="n"/>
      <c r="H154" s="54" t="n"/>
    </row>
    <row r="155" ht="15" customHeight="1" s="27">
      <c r="A155" s="39">
        <f>IF(B155="","",ROW()-2)</f>
        <v/>
      </c>
      <c r="B155" s="50" t="n"/>
      <c r="C155" s="40" t="n"/>
      <c r="D155" s="40" t="n"/>
      <c r="E155" s="53" t="inlineStr">
        <is>
          <t>Chatbot</t>
        </is>
      </c>
      <c r="F155" s="40" t="n"/>
      <c r="G155" s="40" t="n"/>
      <c r="H155" s="54" t="n"/>
    </row>
    <row r="156" ht="15" customHeight="1" s="27">
      <c r="A156" s="39">
        <f>IF(B156="","",ROW()-2)</f>
        <v/>
      </c>
      <c r="B156" s="50" t="n"/>
      <c r="C156" s="40" t="n"/>
      <c r="D156" s="40" t="n"/>
      <c r="E156" s="53" t="inlineStr">
        <is>
          <t>Chatbot</t>
        </is>
      </c>
      <c r="F156" s="40" t="n"/>
      <c r="G156" s="40" t="n"/>
      <c r="H156" s="54" t="n"/>
    </row>
    <row r="157" ht="15" customHeight="1" s="27">
      <c r="A157" s="39">
        <f>IF(B157="","",ROW()-2)</f>
        <v/>
      </c>
      <c r="B157" s="50" t="n"/>
      <c r="C157" s="40" t="n"/>
      <c r="D157" s="40" t="n"/>
      <c r="E157" s="53" t="inlineStr">
        <is>
          <t>Chatbot</t>
        </is>
      </c>
      <c r="F157" s="40" t="n"/>
      <c r="G157" s="40" t="n"/>
      <c r="H157" s="54" t="n"/>
    </row>
    <row r="158" ht="15" customHeight="1" s="27">
      <c r="A158" s="39">
        <f>IF(B158="","",ROW()-2)</f>
        <v/>
      </c>
      <c r="B158" s="50" t="n"/>
      <c r="C158" s="40" t="n"/>
      <c r="D158" s="40" t="n"/>
      <c r="E158" s="53" t="inlineStr">
        <is>
          <t>Chatbot</t>
        </is>
      </c>
      <c r="F158" s="40" t="n"/>
      <c r="G158" s="40" t="n"/>
      <c r="H158" s="54" t="n"/>
    </row>
    <row r="159" ht="15" customHeight="1" s="27">
      <c r="A159" s="39">
        <f>IF(B159="","",ROW()-2)</f>
        <v/>
      </c>
      <c r="B159" s="50" t="n"/>
      <c r="C159" s="40" t="n"/>
      <c r="D159" s="40" t="n"/>
      <c r="E159" s="53" t="inlineStr">
        <is>
          <t>Chatbot</t>
        </is>
      </c>
      <c r="F159" s="40" t="n"/>
      <c r="G159" s="40" t="n"/>
      <c r="H159" s="54" t="n"/>
    </row>
    <row r="160" ht="15" customHeight="1" s="27">
      <c r="A160" s="39">
        <f>IF(B160="","",ROW()-2)</f>
        <v/>
      </c>
      <c r="B160" s="50" t="n"/>
      <c r="C160" s="40" t="n"/>
      <c r="D160" s="40" t="n"/>
      <c r="E160" s="53" t="inlineStr">
        <is>
          <t>Chatbot</t>
        </is>
      </c>
      <c r="F160" s="40" t="n"/>
      <c r="G160" s="40" t="n"/>
      <c r="H160" s="54" t="n"/>
    </row>
    <row r="161" ht="15" customHeight="1" s="27">
      <c r="A161" s="39">
        <f>IF(B161="","",ROW()-2)</f>
        <v/>
      </c>
      <c r="B161" s="50" t="n"/>
      <c r="C161" s="40" t="n"/>
      <c r="D161" s="40" t="n"/>
      <c r="E161" s="53" t="inlineStr">
        <is>
          <t>Chatbot</t>
        </is>
      </c>
      <c r="F161" s="40" t="n"/>
      <c r="G161" s="40" t="n"/>
      <c r="H161" s="54" t="n"/>
    </row>
    <row r="162" ht="15" customHeight="1" s="27">
      <c r="A162" s="39">
        <f>IF(B162="","",ROW()-2)</f>
        <v/>
      </c>
      <c r="B162" s="50" t="n"/>
      <c r="C162" s="40" t="n"/>
      <c r="D162" s="40" t="n"/>
      <c r="E162" s="53" t="inlineStr">
        <is>
          <t>Chatbot</t>
        </is>
      </c>
      <c r="F162" s="40" t="n"/>
      <c r="G162" s="40" t="n"/>
      <c r="H162" s="54" t="n"/>
    </row>
    <row r="163" ht="15" customHeight="1" s="27">
      <c r="A163" s="39">
        <f>IF(B163="","",ROW()-2)</f>
        <v/>
      </c>
      <c r="B163" s="50" t="n"/>
      <c r="C163" s="40" t="n"/>
      <c r="D163" s="40" t="n"/>
      <c r="E163" s="53" t="inlineStr">
        <is>
          <t>Chatbot</t>
        </is>
      </c>
      <c r="F163" s="40" t="n"/>
      <c r="G163" s="40" t="n"/>
      <c r="H163" s="54" t="n"/>
    </row>
    <row r="164" ht="15" customHeight="1" s="27">
      <c r="A164" s="39">
        <f>IF(B164="","",ROW()-2)</f>
        <v/>
      </c>
      <c r="B164" s="50" t="n"/>
      <c r="C164" s="40" t="n"/>
      <c r="D164" s="40" t="n"/>
      <c r="E164" s="53" t="inlineStr">
        <is>
          <t>Chatbot</t>
        </is>
      </c>
      <c r="F164" s="40" t="n"/>
      <c r="G164" s="40" t="n"/>
      <c r="H164" s="54" t="n"/>
    </row>
    <row r="165" ht="15" customHeight="1" s="27">
      <c r="A165" s="39">
        <f>IF(B165="","",ROW()-2)</f>
        <v/>
      </c>
      <c r="B165" s="50" t="n"/>
      <c r="C165" s="40" t="n"/>
      <c r="D165" s="40" t="n"/>
      <c r="E165" s="53" t="inlineStr">
        <is>
          <t>Chatbot</t>
        </is>
      </c>
      <c r="F165" s="40" t="n"/>
      <c r="G165" s="40" t="n"/>
      <c r="H165" s="54" t="n"/>
    </row>
    <row r="166" ht="15" customHeight="1" s="27">
      <c r="A166" s="39">
        <f>IF(B166="","",ROW()-2)</f>
        <v/>
      </c>
      <c r="B166" s="50" t="n"/>
      <c r="C166" s="40" t="n"/>
      <c r="D166" s="40" t="n"/>
      <c r="E166" s="53" t="inlineStr">
        <is>
          <t>Chatbot</t>
        </is>
      </c>
      <c r="F166" s="40" t="n"/>
      <c r="G166" s="40" t="n"/>
      <c r="H166" s="54" t="n"/>
    </row>
    <row r="167" ht="15" customHeight="1" s="27">
      <c r="A167" s="39">
        <f>IF(B167="","",ROW()-2)</f>
        <v/>
      </c>
      <c r="B167" s="50" t="n"/>
      <c r="C167" s="40" t="n"/>
      <c r="D167" s="40" t="n"/>
      <c r="E167" s="53" t="inlineStr">
        <is>
          <t>Chatbot</t>
        </is>
      </c>
      <c r="F167" s="40" t="n"/>
      <c r="G167" s="40" t="n"/>
      <c r="H167" s="54" t="n"/>
    </row>
    <row r="168" ht="15" customHeight="1" s="27">
      <c r="A168" s="39">
        <f>IF(B168="","",ROW()-2)</f>
        <v/>
      </c>
      <c r="B168" s="50" t="n"/>
      <c r="C168" s="40" t="n"/>
      <c r="D168" s="40" t="n"/>
      <c r="E168" s="53" t="inlineStr">
        <is>
          <t>Chatbot</t>
        </is>
      </c>
      <c r="F168" s="40" t="n"/>
      <c r="G168" s="40" t="n"/>
      <c r="H168" s="54" t="n"/>
    </row>
    <row r="169" ht="15" customHeight="1" s="27">
      <c r="A169" s="39">
        <f>IF(B169="","",ROW()-2)</f>
        <v/>
      </c>
      <c r="B169" s="50" t="n"/>
      <c r="C169" s="40" t="n"/>
      <c r="D169" s="40" t="n"/>
      <c r="E169" s="53" t="inlineStr">
        <is>
          <t>Chatbot</t>
        </is>
      </c>
      <c r="F169" s="40" t="n"/>
      <c r="G169" s="40" t="n"/>
      <c r="H169" s="54" t="n"/>
    </row>
    <row r="170" ht="15" customHeight="1" s="27">
      <c r="A170" s="39">
        <f>IF(B170="","",ROW()-2)</f>
        <v/>
      </c>
      <c r="B170" s="50" t="n"/>
      <c r="C170" s="40" t="n"/>
      <c r="D170" s="40" t="n"/>
      <c r="E170" s="53" t="inlineStr">
        <is>
          <t>Chatbot</t>
        </is>
      </c>
      <c r="F170" s="40" t="n"/>
      <c r="G170" s="40" t="n"/>
      <c r="H170" s="54" t="n"/>
    </row>
    <row r="171" ht="15" customHeight="1" s="27">
      <c r="A171" s="39">
        <f>IF(B171="","",ROW()-2)</f>
        <v/>
      </c>
      <c r="B171" s="50" t="n"/>
      <c r="C171" s="40" t="n"/>
      <c r="D171" s="40" t="n"/>
      <c r="E171" s="53" t="inlineStr">
        <is>
          <t>Chatbot</t>
        </is>
      </c>
      <c r="F171" s="40" t="n"/>
      <c r="G171" s="40" t="n"/>
      <c r="H171" s="54" t="n"/>
    </row>
    <row r="172" ht="15" customHeight="1" s="27">
      <c r="A172" s="39">
        <f>IF(B172="","",ROW()-2)</f>
        <v/>
      </c>
      <c r="B172" s="50" t="n"/>
      <c r="C172" s="40" t="n"/>
      <c r="D172" s="40" t="n"/>
      <c r="E172" s="53" t="inlineStr">
        <is>
          <t>Chatbot</t>
        </is>
      </c>
      <c r="F172" s="40" t="n"/>
      <c r="G172" s="40" t="n"/>
      <c r="H172" s="54" t="n"/>
    </row>
    <row r="173" ht="15" customHeight="1" s="27">
      <c r="A173" s="39">
        <f>IF(B173="","",ROW()-2)</f>
        <v/>
      </c>
      <c r="B173" s="50" t="n"/>
      <c r="C173" s="40" t="n"/>
      <c r="D173" s="40" t="n"/>
      <c r="E173" s="53" t="inlineStr">
        <is>
          <t>Chatbot</t>
        </is>
      </c>
      <c r="F173" s="40" t="n"/>
      <c r="G173" s="40" t="n"/>
      <c r="H173" s="54" t="n"/>
    </row>
    <row r="174" ht="15" customHeight="1" s="27">
      <c r="A174" s="39">
        <f>IF(B174="","",ROW()-2)</f>
        <v/>
      </c>
      <c r="B174" s="50" t="n"/>
      <c r="C174" s="40" t="n"/>
      <c r="D174" s="40" t="n"/>
      <c r="E174" s="53" t="inlineStr">
        <is>
          <t>Chatbot</t>
        </is>
      </c>
      <c r="F174" s="40" t="n"/>
      <c r="G174" s="40" t="n"/>
      <c r="H174" s="54" t="n"/>
    </row>
    <row r="175" ht="15" customHeight="1" s="27">
      <c r="A175" s="39">
        <f>IF(B175="","",ROW()-2)</f>
        <v/>
      </c>
      <c r="B175" s="50" t="n"/>
      <c r="C175" s="40" t="n"/>
      <c r="D175" s="40" t="n"/>
      <c r="E175" s="53" t="inlineStr">
        <is>
          <t>Chatbot</t>
        </is>
      </c>
      <c r="F175" s="40" t="n"/>
      <c r="G175" s="40" t="n"/>
      <c r="H175" s="54" t="n"/>
    </row>
    <row r="176" ht="15" customHeight="1" s="27">
      <c r="A176" s="39">
        <f>IF(B176="","",ROW()-2)</f>
        <v/>
      </c>
      <c r="B176" s="50" t="n"/>
      <c r="C176" s="40" t="n"/>
      <c r="D176" s="40" t="n"/>
      <c r="E176" s="53" t="inlineStr">
        <is>
          <t>Chatbot</t>
        </is>
      </c>
      <c r="F176" s="40" t="n"/>
      <c r="G176" s="40" t="n"/>
      <c r="H176" s="54" t="n"/>
    </row>
    <row r="177" ht="15" customHeight="1" s="27">
      <c r="A177" s="39">
        <f>IF(B177="","",ROW()-2)</f>
        <v/>
      </c>
      <c r="B177" s="50" t="n"/>
      <c r="C177" s="40" t="n"/>
      <c r="D177" s="40" t="n"/>
      <c r="E177" s="53" t="inlineStr">
        <is>
          <t>Chatbot</t>
        </is>
      </c>
      <c r="F177" s="40" t="n"/>
      <c r="G177" s="40" t="n"/>
      <c r="H177" s="54" t="n"/>
    </row>
    <row r="178" ht="15" customHeight="1" s="27">
      <c r="A178" s="39">
        <f>IF(B178="","",ROW()-2)</f>
        <v/>
      </c>
      <c r="B178" s="50" t="n"/>
      <c r="C178" s="40" t="n"/>
      <c r="D178" s="40" t="n"/>
      <c r="E178" s="53" t="inlineStr">
        <is>
          <t>Chatbot</t>
        </is>
      </c>
      <c r="F178" s="40" t="n"/>
      <c r="G178" s="40" t="n"/>
      <c r="H178" s="54" t="n"/>
    </row>
    <row r="179" ht="15" customHeight="1" s="27">
      <c r="A179" s="39">
        <f>IF(B179="","",ROW()-2)</f>
        <v/>
      </c>
      <c r="B179" s="50" t="n"/>
      <c r="C179" s="40" t="n"/>
      <c r="D179" s="40" t="n"/>
      <c r="E179" s="53" t="inlineStr">
        <is>
          <t>Chatbot</t>
        </is>
      </c>
      <c r="F179" s="40" t="n"/>
      <c r="G179" s="40" t="n"/>
      <c r="H179" s="54" t="n"/>
    </row>
    <row r="180" ht="15" customHeight="1" s="27">
      <c r="A180" s="39">
        <f>IF(B180="","",ROW()-2)</f>
        <v/>
      </c>
      <c r="B180" s="50" t="n"/>
      <c r="C180" s="40" t="n"/>
      <c r="D180" s="40" t="n"/>
      <c r="E180" s="53" t="inlineStr">
        <is>
          <t>Chatbot</t>
        </is>
      </c>
      <c r="F180" s="40" t="n"/>
      <c r="G180" s="40" t="n"/>
      <c r="H180" s="54" t="n"/>
    </row>
    <row r="181" ht="15" customHeight="1" s="27">
      <c r="A181" s="39">
        <f>IF(B181="","",ROW()-2)</f>
        <v/>
      </c>
      <c r="B181" s="50" t="n"/>
      <c r="C181" s="40" t="n"/>
      <c r="D181" s="40" t="n"/>
      <c r="E181" s="53" t="inlineStr">
        <is>
          <t>Chatbot</t>
        </is>
      </c>
      <c r="F181" s="40" t="n"/>
      <c r="G181" s="40" t="n"/>
      <c r="H181" s="54" t="n"/>
    </row>
    <row r="182" ht="15" customHeight="1" s="27">
      <c r="A182" s="39">
        <f>IF(B182="","",ROW()-2)</f>
        <v/>
      </c>
      <c r="B182" s="50" t="n"/>
      <c r="C182" s="40" t="n"/>
      <c r="D182" s="40" t="n"/>
      <c r="E182" s="53" t="inlineStr">
        <is>
          <t>Chatbot</t>
        </is>
      </c>
      <c r="F182" s="40" t="n"/>
      <c r="G182" s="40" t="n"/>
      <c r="H182" s="54" t="n"/>
    </row>
    <row r="183" ht="15" customHeight="1" s="27">
      <c r="A183" s="39">
        <f>IF(B183="","",ROW()-2)</f>
        <v/>
      </c>
      <c r="B183" s="50" t="n"/>
      <c r="C183" s="40" t="n"/>
      <c r="D183" s="40" t="n"/>
      <c r="E183" s="53" t="inlineStr">
        <is>
          <t>Chatbot</t>
        </is>
      </c>
      <c r="F183" s="40" t="n"/>
      <c r="G183" s="40" t="n"/>
      <c r="H183" s="54" t="n"/>
    </row>
    <row r="184" ht="15" customHeight="1" s="27">
      <c r="A184" s="39">
        <f>IF(B184="","",ROW()-2)</f>
        <v/>
      </c>
      <c r="B184" s="50" t="n"/>
      <c r="C184" s="40" t="n"/>
      <c r="D184" s="40" t="n"/>
      <c r="E184" s="53" t="inlineStr">
        <is>
          <t>Chatbot</t>
        </is>
      </c>
      <c r="F184" s="40" t="n"/>
      <c r="G184" s="40" t="n"/>
      <c r="H184" s="54" t="n"/>
    </row>
    <row r="185" ht="15" customHeight="1" s="27">
      <c r="A185" s="39">
        <f>IF(B185="","",ROW()-2)</f>
        <v/>
      </c>
      <c r="B185" s="50" t="n"/>
      <c r="C185" s="40" t="n"/>
      <c r="D185" s="40" t="n"/>
      <c r="E185" s="53" t="inlineStr">
        <is>
          <t>Chatbot</t>
        </is>
      </c>
      <c r="F185" s="40" t="n"/>
      <c r="G185" s="40" t="n"/>
      <c r="H185" s="54" t="n"/>
    </row>
    <row r="186" ht="15" customHeight="1" s="27">
      <c r="A186" s="39">
        <f>IF(B186="","",ROW()-2)</f>
        <v/>
      </c>
      <c r="B186" s="50" t="n"/>
      <c r="C186" s="40" t="n"/>
      <c r="D186" s="40" t="n"/>
      <c r="E186" s="53" t="inlineStr">
        <is>
          <t>Chatbot</t>
        </is>
      </c>
      <c r="F186" s="40" t="n"/>
      <c r="G186" s="40" t="n"/>
      <c r="H186" s="54" t="n"/>
    </row>
    <row r="187" ht="15" customHeight="1" s="27">
      <c r="A187" s="39">
        <f>IF(B187="","",ROW()-2)</f>
        <v/>
      </c>
      <c r="B187" s="50" t="n"/>
      <c r="C187" s="40" t="n"/>
      <c r="D187" s="40" t="n"/>
      <c r="E187" s="53" t="inlineStr">
        <is>
          <t>Chatbot</t>
        </is>
      </c>
      <c r="F187" s="40" t="n"/>
      <c r="G187" s="40" t="n"/>
      <c r="H187" s="54" t="n"/>
    </row>
    <row r="188" ht="15" customHeight="1" s="27">
      <c r="A188" s="39">
        <f>IF(B188="","",ROW()-2)</f>
        <v/>
      </c>
      <c r="B188" s="50" t="n"/>
      <c r="C188" s="40" t="n"/>
      <c r="D188" s="40" t="n"/>
      <c r="E188" s="53" t="inlineStr">
        <is>
          <t>Chatbot</t>
        </is>
      </c>
      <c r="F188" s="40" t="n"/>
      <c r="G188" s="40" t="n"/>
      <c r="H188" s="54" t="n"/>
    </row>
    <row r="189" ht="15" customHeight="1" s="27">
      <c r="A189" s="39">
        <f>IF(B189="","",ROW()-2)</f>
        <v/>
      </c>
      <c r="B189" s="50" t="n"/>
      <c r="C189" s="40" t="n"/>
      <c r="D189" s="40" t="n"/>
      <c r="E189" s="53" t="inlineStr">
        <is>
          <t>Chatbot</t>
        </is>
      </c>
      <c r="F189" s="40" t="n"/>
      <c r="G189" s="40" t="n"/>
      <c r="H189" s="54" t="n"/>
    </row>
    <row r="190" ht="15" customHeight="1" s="27">
      <c r="A190" s="39">
        <f>IF(B190="","",ROW()-2)</f>
        <v/>
      </c>
      <c r="B190" s="50" t="n"/>
      <c r="C190" s="40" t="n"/>
      <c r="D190" s="40" t="n"/>
      <c r="E190" s="53" t="inlineStr">
        <is>
          <t>Chatbot</t>
        </is>
      </c>
      <c r="F190" s="40" t="n"/>
      <c r="G190" s="40" t="n"/>
      <c r="H190" s="54" t="n"/>
    </row>
    <row r="191" ht="15" customHeight="1" s="27">
      <c r="A191" s="39">
        <f>IF(B191="","",ROW()-2)</f>
        <v/>
      </c>
      <c r="B191" s="50" t="n"/>
      <c r="C191" s="40" t="n"/>
      <c r="D191" s="40" t="n"/>
      <c r="E191" s="53" t="inlineStr">
        <is>
          <t>Chatbot</t>
        </is>
      </c>
      <c r="F191" s="40" t="n"/>
      <c r="G191" s="40" t="n"/>
      <c r="H191" s="54" t="n"/>
    </row>
    <row r="192" ht="15" customHeight="1" s="27">
      <c r="A192" s="39">
        <f>IF(B192="","",ROW()-2)</f>
        <v/>
      </c>
      <c r="B192" s="50" t="n"/>
      <c r="C192" s="40" t="n"/>
      <c r="D192" s="40" t="n"/>
      <c r="E192" s="53" t="inlineStr">
        <is>
          <t>Chatbot</t>
        </is>
      </c>
      <c r="F192" s="40" t="n"/>
      <c r="G192" s="40" t="n"/>
      <c r="H192" s="54" t="n"/>
    </row>
    <row r="193" ht="15" customHeight="1" s="27">
      <c r="A193" s="39">
        <f>IF(B193="","",ROW()-2)</f>
        <v/>
      </c>
      <c r="B193" s="50" t="n"/>
      <c r="C193" s="40" t="n"/>
      <c r="D193" s="40" t="n"/>
      <c r="E193" s="53" t="inlineStr">
        <is>
          <t>Chatbot</t>
        </is>
      </c>
      <c r="F193" s="40" t="n"/>
      <c r="G193" s="40" t="n"/>
      <c r="H193" s="54" t="n"/>
    </row>
    <row r="194" ht="15" customHeight="1" s="27">
      <c r="A194" s="39">
        <f>IF(B194="","",ROW()-2)</f>
        <v/>
      </c>
      <c r="B194" s="50" t="n"/>
      <c r="C194" s="40" t="n"/>
      <c r="D194" s="40" t="n"/>
      <c r="E194" s="53" t="inlineStr">
        <is>
          <t>Chatbot</t>
        </is>
      </c>
      <c r="F194" s="40" t="n"/>
      <c r="G194" s="40" t="n"/>
      <c r="H194" s="54" t="n"/>
    </row>
    <row r="195" ht="15" customHeight="1" s="27">
      <c r="A195" s="39">
        <f>IF(B195="","",ROW()-2)</f>
        <v/>
      </c>
      <c r="B195" s="50" t="n"/>
      <c r="C195" s="40" t="n"/>
      <c r="D195" s="40" t="n"/>
      <c r="E195" s="53" t="inlineStr">
        <is>
          <t>Chatbot</t>
        </is>
      </c>
      <c r="F195" s="40" t="n"/>
      <c r="G195" s="40" t="n"/>
      <c r="H195" s="54" t="n"/>
    </row>
    <row r="196" ht="15" customHeight="1" s="27">
      <c r="A196" s="39">
        <f>IF(B196="","",ROW()-2)</f>
        <v/>
      </c>
      <c r="B196" s="50" t="n"/>
      <c r="C196" s="40" t="n"/>
      <c r="D196" s="40" t="n"/>
      <c r="E196" s="53" t="inlineStr">
        <is>
          <t>Chatbot</t>
        </is>
      </c>
      <c r="F196" s="40" t="n"/>
      <c r="G196" s="40" t="n"/>
      <c r="H196" s="54" t="n"/>
    </row>
    <row r="197" ht="15" customHeight="1" s="27">
      <c r="A197" s="39">
        <f>IF(B197="","",ROW()-2)</f>
        <v/>
      </c>
      <c r="B197" s="50" t="n"/>
      <c r="C197" s="40" t="n"/>
      <c r="D197" s="40" t="n"/>
      <c r="E197" s="53" t="inlineStr">
        <is>
          <t>Chatbot</t>
        </is>
      </c>
      <c r="F197" s="40" t="n"/>
      <c r="G197" s="40" t="n"/>
      <c r="H197" s="54" t="n"/>
    </row>
    <row r="198" ht="15" customHeight="1" s="27">
      <c r="A198" s="39">
        <f>IF(B198="","",ROW()-2)</f>
        <v/>
      </c>
      <c r="B198" s="50" t="n"/>
      <c r="C198" s="40" t="n"/>
      <c r="D198" s="40" t="n"/>
      <c r="E198" s="53" t="inlineStr">
        <is>
          <t>Chatbot</t>
        </is>
      </c>
      <c r="F198" s="40" t="n"/>
      <c r="G198" s="40" t="n"/>
      <c r="H198" s="54" t="n"/>
    </row>
    <row r="199" ht="15" customHeight="1" s="27">
      <c r="A199" s="39">
        <f>IF(B199="","",ROW()-2)</f>
        <v/>
      </c>
      <c r="B199" s="50" t="n"/>
      <c r="C199" s="40" t="n"/>
      <c r="D199" s="40" t="n"/>
      <c r="E199" s="53" t="inlineStr">
        <is>
          <t>Chatbot</t>
        </is>
      </c>
      <c r="F199" s="40" t="n"/>
      <c r="G199" s="40" t="n"/>
      <c r="H199" s="54" t="n"/>
    </row>
    <row r="200" ht="15" customHeight="1" s="27">
      <c r="A200" s="39">
        <f>IF(B200="","",ROW()-2)</f>
        <v/>
      </c>
      <c r="B200" s="50" t="n"/>
      <c r="C200" s="40" t="n"/>
      <c r="D200" s="40" t="n"/>
      <c r="E200" s="53" t="inlineStr">
        <is>
          <t>Chatbot</t>
        </is>
      </c>
      <c r="F200" s="40" t="n"/>
      <c r="G200" s="40" t="n"/>
      <c r="H200" s="54" t="n"/>
    </row>
    <row r="201" ht="15" customHeight="1" s="27">
      <c r="A201" s="39">
        <f>IF(B201="","",ROW()-2)</f>
        <v/>
      </c>
      <c r="B201" s="50" t="n"/>
      <c r="C201" s="40" t="n"/>
      <c r="D201" s="40" t="n"/>
      <c r="E201" s="53" t="inlineStr">
        <is>
          <t>Chatbot</t>
        </is>
      </c>
      <c r="F201" s="40" t="n"/>
      <c r="G201" s="40" t="n"/>
      <c r="H201" s="54" t="n"/>
    </row>
    <row r="202" ht="15" customHeight="1" s="27">
      <c r="A202" s="39">
        <f>IF(B202="","",ROW()-2)</f>
        <v/>
      </c>
      <c r="B202" s="50" t="n"/>
      <c r="C202" s="40" t="n"/>
      <c r="D202" s="40" t="n"/>
      <c r="E202" s="53" t="inlineStr">
        <is>
          <t>Chatbot</t>
        </is>
      </c>
      <c r="F202" s="40" t="n"/>
      <c r="G202" s="40" t="n"/>
      <c r="H202" s="54" t="n"/>
    </row>
  </sheetData>
  <dataValidations count="4">
    <dataValidation sqref="B3:B202" showDropDown="0" showInputMessage="0" showErrorMessage="0" allowBlank="1" type="list" errorStyle="stop" operator="between">
      <formula1>Listas!$B$2:$B$14</formula1>
      <formula2>0</formula2>
    </dataValidation>
    <dataValidation sqref="D3:D202" showDropDown="0" showInputMessage="0" showErrorMessage="0" allowBlank="1" type="list" errorStyle="stop" operator="between">
      <formula1>Listas!$E$2:$E$8</formula1>
      <formula2>0</formula2>
    </dataValidation>
    <dataValidation sqref="F3:F202" showDropDown="0" showInputMessage="0" showErrorMessage="0" allowBlank="1" type="list" errorStyle="stop" operator="between">
      <formula1>Listas!$C$2:$C$3</formula1>
      <formula2>0</formula2>
    </dataValidation>
    <dataValidation sqref="G3:G202" showDropDown="0" showInputMessage="0" showErrorMessage="0" allowBlank="1" type="list" errorStyle="stop" operator="between">
      <formula1>Listas!$C$2:$C$3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R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6" min="1" max="1"/>
    <col width="12" customWidth="1" style="26" min="2" max="3"/>
    <col width="16" customWidth="1" style="26" min="4" max="5"/>
    <col width="12" customWidth="1" style="26" min="6" max="7"/>
    <col width="16" customWidth="1" style="26" min="8" max="9"/>
    <col width="13" customWidth="1" style="27" min="10" max="10"/>
    <col width="13" customWidth="1" style="27" min="11" max="11"/>
    <col width="13" customWidth="1" style="27" min="12" max="12"/>
    <col width="13" customWidth="1" style="27" min="13" max="13"/>
    <col width="13" customWidth="1" style="27" min="14" max="14"/>
    <col width="13" customWidth="1" style="27" min="15" max="15"/>
    <col width="13" customWidth="1" style="27" min="16" max="16"/>
    <col width="13" customWidth="1" style="27" min="17" max="17"/>
    <col width="13" customWidth="1" style="27" min="18" max="18"/>
  </cols>
  <sheetData>
    <row r="1" ht="32" customHeight="1" s="27">
      <c r="A1" s="38" t="inlineStr">
        <is>
          <t>Par</t>
        </is>
      </c>
      <c r="B1" s="38" t="inlineStr">
        <is>
          <t>Fecha PRE</t>
        </is>
      </c>
      <c r="C1" s="38" t="inlineStr">
        <is>
          <t>TPR PRE
(min)</t>
        </is>
      </c>
      <c r="D1" s="38" t="inlineStr">
        <is>
          <t>Ausentismo
PRE (%)</t>
        </is>
      </c>
      <c r="E1" s="38" t="inlineStr">
        <is>
          <t>Consultas
PRE (%)</t>
        </is>
      </c>
      <c r="F1" s="38" t="inlineStr">
        <is>
          <t>Fecha POST</t>
        </is>
      </c>
      <c r="G1" s="38" t="inlineStr">
        <is>
          <t>TPR POST
(min)</t>
        </is>
      </c>
      <c r="H1" s="38" t="inlineStr">
        <is>
          <t>Ausentismo
POST (%)</t>
        </is>
      </c>
      <c r="I1" s="38" t="inlineStr">
        <is>
          <t>Consultas
POST (%)</t>
        </is>
      </c>
      <c r="J1" s="42" t="inlineStr">
        <is>
          <t>Registros
PRE</t>
        </is>
      </c>
      <c r="K1" s="42" t="inlineStr">
        <is>
          <t>Citas elegibles
PRE</t>
        </is>
      </c>
      <c r="L1" s="42" t="inlineStr">
        <is>
          <t>Consultas
PRE</t>
        </is>
      </c>
      <c r="M1" s="42" t="inlineStr">
        <is>
          <t>Registros
POST</t>
        </is>
      </c>
      <c r="N1" s="42" t="inlineStr">
        <is>
          <t>Citas elegibles
POST</t>
        </is>
      </c>
      <c r="O1" s="42" t="inlineStr">
        <is>
          <t>Consultas
POST</t>
        </is>
      </c>
      <c r="P1" s="42" t="inlineStr">
        <is>
          <t>Par válido
TPR</t>
        </is>
      </c>
      <c r="Q1" s="42" t="inlineStr">
        <is>
          <t>Par válido
TA</t>
        </is>
      </c>
      <c r="R1" s="42" t="inlineStr">
        <is>
          <t>Par válido
NCA</t>
        </is>
      </c>
    </row>
    <row r="2" ht="15" customHeight="1" s="27">
      <c r="A2" s="39" t="n">
        <v>1</v>
      </c>
      <c r="B2" s="55" t="n">
        <v>46267</v>
      </c>
      <c r="C2" s="56">
        <f>IFERROR(AVERAGEIFS(TPR_PRE!$F$3:$F$202,TPR_PRE!$B$3:$B$202,B2),"")</f>
        <v/>
      </c>
      <c r="D2" s="57">
        <f>IFERROR(COUNTIFS(Ausentismo_PRE!$B$3:$B$202,B2,Ausentismo_PRE!$E$3:$E$202,"No asistió")/(COUNTIFS(Ausentismo_PRE!$B$3:$B$202,B2,Ausentismo_PRE!$E$3:$E$202,"No asistió")+COUNTIFS(Ausentismo_PRE!$B$3:$B$202,B2,Ausentismo_PRE!$E$3:$E$202,"Asistió")),"")</f>
        <v/>
      </c>
      <c r="E2" s="57">
        <f>IFERROR(COUNTIFS(Consultas_PRE!$B$3:$B$202,B2,Consultas_PRE!$F$3:$F$202,"Sí",Consultas_PRE!$G$3:$G$202,"No")/COUNTIFS(Consultas_PRE!$B$3:$B$202,B2),"")</f>
        <v/>
      </c>
      <c r="F2" s="55" t="n">
        <v>46297</v>
      </c>
      <c r="G2" s="56">
        <f>IFERROR(AVERAGEIFS(TPR_POST!$F$3:$F$202,TPR_POST!$B$3:$B$202,F2),"")</f>
        <v/>
      </c>
      <c r="H2" s="57">
        <f>IFERROR(COUNTIFS(Ausentismo_POST!$B$3:$B$202,F2,Ausentismo_POST!$E$3:$E$202,"No asistió")/(COUNTIFS(Ausentismo_POST!$B$3:$B$202,F2,Ausentismo_POST!$E$3:$E$202,"No asistió")+COUNTIFS(Ausentismo_POST!$B$3:$B$202,F2,Ausentismo_POST!$E$3:$E$202,"Asistió")),"")</f>
        <v/>
      </c>
      <c r="I2" s="57">
        <f>IFERROR(COUNTIFS(Consultas_POST!$B$3:$B$202,F2,Consultas_POST!$F$3:$F$202,"Sí",Consultas_POST!$G$3:$G$202,"No")/COUNTIFS(Consultas_POST!$B$3:$B$202,F2),"")</f>
        <v/>
      </c>
      <c r="J2" s="58">
        <f>COUNTIFS(TPR_PRE!$B$3:$B$202,B2,TPR_PRE!$F$3:$F$202,"&gt;=0")</f>
        <v/>
      </c>
      <c r="K2" s="58">
        <f>COUNTIFS(Ausentismo_PRE!$B$3:$B$202,B2,Ausentismo_PRE!$E$3:$E$202,"No asistió")+COUNTIFS(Ausentismo_PRE!$B$3:$B$202,B2,Ausentismo_PRE!$E$3:$E$202,"Asistió")</f>
        <v/>
      </c>
      <c r="L2" s="58">
        <f>COUNTIFS(Consultas_PRE!$B$3:$B$202,B2)</f>
        <v/>
      </c>
      <c r="M2" s="58">
        <f>COUNTIFS(TPR_POST!$B$3:$B$202,F2,TPR_POST!$F$3:$F$202,"&gt;=0")</f>
        <v/>
      </c>
      <c r="N2" s="58">
        <f>COUNTIFS(Ausentismo_POST!$B$3:$B$202,F2,Ausentismo_POST!$E$3:$E$202,"No asistió")+COUNTIFS(Ausentismo_POST!$B$3:$B$202,F2,Ausentismo_POST!$E$3:$E$202,"Asistió")</f>
        <v/>
      </c>
      <c r="O2" s="58">
        <f>COUNTIFS(Consultas_POST!$B$3:$B$202,F2)</f>
        <v/>
      </c>
      <c r="P2" s="58">
        <f>IF(AND(J2&gt;0,M2&gt;0),"Sí","No")</f>
        <v/>
      </c>
      <c r="Q2" s="58">
        <f>IF(AND(K2&gt;0,N2&gt;0),"Sí","No")</f>
        <v/>
      </c>
      <c r="R2" s="58">
        <f>IF(AND(L2&gt;0,O2&gt;0),"Sí","No")</f>
        <v/>
      </c>
    </row>
    <row r="3" ht="15" customHeight="1" s="27">
      <c r="A3" s="39" t="n">
        <v>2</v>
      </c>
      <c r="B3" s="55" t="n">
        <v>46269</v>
      </c>
      <c r="C3" s="56">
        <f>IFERROR(AVERAGEIFS(TPR_PRE!$F$3:$F$202,TPR_PRE!$B$3:$B$202,B3),"")</f>
        <v/>
      </c>
      <c r="D3" s="57">
        <f>IFERROR(COUNTIFS(Ausentismo_PRE!$B$3:$B$202,B3,Ausentismo_PRE!$E$3:$E$202,"No asistió")/(COUNTIFS(Ausentismo_PRE!$B$3:$B$202,B3,Ausentismo_PRE!$E$3:$E$202,"No asistió")+COUNTIFS(Ausentismo_PRE!$B$3:$B$202,B3,Ausentismo_PRE!$E$3:$E$202,"Asistió")),"")</f>
        <v/>
      </c>
      <c r="E3" s="57">
        <f>IFERROR(COUNTIFS(Consultas_PRE!$B$3:$B$202,B3,Consultas_PRE!$F$3:$F$202,"Sí",Consultas_PRE!$G$3:$G$202,"No")/COUNTIFS(Consultas_PRE!$B$3:$B$202,B3),"")</f>
        <v/>
      </c>
      <c r="F3" s="55" t="n">
        <v>46300</v>
      </c>
      <c r="G3" s="56">
        <f>IFERROR(AVERAGEIFS(TPR_POST!$F$3:$F$202,TPR_POST!$B$3:$B$202,F3),"")</f>
        <v/>
      </c>
      <c r="H3" s="57">
        <f>IFERROR(COUNTIFS(Ausentismo_POST!$B$3:$B$202,F3,Ausentismo_POST!$E$3:$E$202,"No asistió")/(COUNTIFS(Ausentismo_POST!$B$3:$B$202,F3,Ausentismo_POST!$E$3:$E$202,"No asistió")+COUNTIFS(Ausentismo_POST!$B$3:$B$202,F3,Ausentismo_POST!$E$3:$E$202,"Asistió")),"")</f>
        <v/>
      </c>
      <c r="I3" s="57">
        <f>IFERROR(COUNTIFS(Consultas_POST!$B$3:$B$202,F3,Consultas_POST!$F$3:$F$202,"Sí",Consultas_POST!$G$3:$G$202,"No")/COUNTIFS(Consultas_POST!$B$3:$B$202,F3),"")</f>
        <v/>
      </c>
      <c r="J3" s="58">
        <f>COUNTIFS(TPR_PRE!$B$3:$B$202,B3,TPR_PRE!$F$3:$F$202,"&gt;=0")</f>
        <v/>
      </c>
      <c r="K3" s="58">
        <f>COUNTIFS(Ausentismo_PRE!$B$3:$B$202,B3,Ausentismo_PRE!$E$3:$E$202,"No asistió")+COUNTIFS(Ausentismo_PRE!$B$3:$B$202,B3,Ausentismo_PRE!$E$3:$E$202,"Asistió")</f>
        <v/>
      </c>
      <c r="L3" s="58">
        <f>COUNTIFS(Consultas_PRE!$B$3:$B$202,B3)</f>
        <v/>
      </c>
      <c r="M3" s="58">
        <f>COUNTIFS(TPR_POST!$B$3:$B$202,F3,TPR_POST!$F$3:$F$202,"&gt;=0")</f>
        <v/>
      </c>
      <c r="N3" s="58">
        <f>COUNTIFS(Ausentismo_POST!$B$3:$B$202,F3,Ausentismo_POST!$E$3:$E$202,"No asistió")+COUNTIFS(Ausentismo_POST!$B$3:$B$202,F3,Ausentismo_POST!$E$3:$E$202,"Asistió")</f>
        <v/>
      </c>
      <c r="O3" s="58">
        <f>COUNTIFS(Consultas_POST!$B$3:$B$202,F3)</f>
        <v/>
      </c>
      <c r="P3" s="58">
        <f>IF(AND(J3&gt;0,M3&gt;0),"Sí","No")</f>
        <v/>
      </c>
      <c r="Q3" s="58">
        <f>IF(AND(K3&gt;0,N3&gt;0),"Sí","No")</f>
        <v/>
      </c>
      <c r="R3" s="58">
        <f>IF(AND(L3&gt;0,O3&gt;0),"Sí","No")</f>
        <v/>
      </c>
    </row>
    <row r="4" ht="15" customHeight="1" s="27">
      <c r="A4" s="39" t="n">
        <v>3</v>
      </c>
      <c r="B4" s="55" t="n">
        <v>46272</v>
      </c>
      <c r="C4" s="56">
        <f>IFERROR(AVERAGEIFS(TPR_PRE!$F$3:$F$202,TPR_PRE!$B$3:$B$202,B4),"")</f>
        <v/>
      </c>
      <c r="D4" s="57">
        <f>IFERROR(COUNTIFS(Ausentismo_PRE!$B$3:$B$202,B4,Ausentismo_PRE!$E$3:$E$202,"No asistió")/(COUNTIFS(Ausentismo_PRE!$B$3:$B$202,B4,Ausentismo_PRE!$E$3:$E$202,"No asistió")+COUNTIFS(Ausentismo_PRE!$B$3:$B$202,B4,Ausentismo_PRE!$E$3:$E$202,"Asistió")),"")</f>
        <v/>
      </c>
      <c r="E4" s="57">
        <f>IFERROR(COUNTIFS(Consultas_PRE!$B$3:$B$202,B4,Consultas_PRE!$F$3:$F$202,"Sí",Consultas_PRE!$G$3:$G$202,"No")/COUNTIFS(Consultas_PRE!$B$3:$B$202,B4),"")</f>
        <v/>
      </c>
      <c r="F4" s="55" t="n">
        <v>46302</v>
      </c>
      <c r="G4" s="56">
        <f>IFERROR(AVERAGEIFS(TPR_POST!$F$3:$F$202,TPR_POST!$B$3:$B$202,F4),"")</f>
        <v/>
      </c>
      <c r="H4" s="57">
        <f>IFERROR(COUNTIFS(Ausentismo_POST!$B$3:$B$202,F4,Ausentismo_POST!$E$3:$E$202,"No asistió")/(COUNTIFS(Ausentismo_POST!$B$3:$B$202,F4,Ausentismo_POST!$E$3:$E$202,"No asistió")+COUNTIFS(Ausentismo_POST!$B$3:$B$202,F4,Ausentismo_POST!$E$3:$E$202,"Asistió")),"")</f>
        <v/>
      </c>
      <c r="I4" s="57">
        <f>IFERROR(COUNTIFS(Consultas_POST!$B$3:$B$202,F4,Consultas_POST!$F$3:$F$202,"Sí",Consultas_POST!$G$3:$G$202,"No")/COUNTIFS(Consultas_POST!$B$3:$B$202,F4),"")</f>
        <v/>
      </c>
      <c r="J4" s="58">
        <f>COUNTIFS(TPR_PRE!$B$3:$B$202,B4,TPR_PRE!$F$3:$F$202,"&gt;=0")</f>
        <v/>
      </c>
      <c r="K4" s="58">
        <f>COUNTIFS(Ausentismo_PRE!$B$3:$B$202,B4,Ausentismo_PRE!$E$3:$E$202,"No asistió")+COUNTIFS(Ausentismo_PRE!$B$3:$B$202,B4,Ausentismo_PRE!$E$3:$E$202,"Asistió")</f>
        <v/>
      </c>
      <c r="L4" s="58">
        <f>COUNTIFS(Consultas_PRE!$B$3:$B$202,B4)</f>
        <v/>
      </c>
      <c r="M4" s="58">
        <f>COUNTIFS(TPR_POST!$B$3:$B$202,F4,TPR_POST!$F$3:$F$202,"&gt;=0")</f>
        <v/>
      </c>
      <c r="N4" s="58">
        <f>COUNTIFS(Ausentismo_POST!$B$3:$B$202,F4,Ausentismo_POST!$E$3:$E$202,"No asistió")+COUNTIFS(Ausentismo_POST!$B$3:$B$202,F4,Ausentismo_POST!$E$3:$E$202,"Asistió")</f>
        <v/>
      </c>
      <c r="O4" s="58">
        <f>COUNTIFS(Consultas_POST!$B$3:$B$202,F4)</f>
        <v/>
      </c>
      <c r="P4" s="58">
        <f>IF(AND(J4&gt;0,M4&gt;0),"Sí","No")</f>
        <v/>
      </c>
      <c r="Q4" s="58">
        <f>IF(AND(K4&gt;0,N4&gt;0),"Sí","No")</f>
        <v/>
      </c>
      <c r="R4" s="58">
        <f>IF(AND(L4&gt;0,O4&gt;0),"Sí","No")</f>
        <v/>
      </c>
    </row>
    <row r="5" ht="15" customHeight="1" s="27">
      <c r="A5" s="39" t="n">
        <v>4</v>
      </c>
      <c r="B5" s="55" t="n">
        <v>46274</v>
      </c>
      <c r="C5" s="56">
        <f>IFERROR(AVERAGEIFS(TPR_PRE!$F$3:$F$202,TPR_PRE!$B$3:$B$202,B5),"")</f>
        <v/>
      </c>
      <c r="D5" s="57">
        <f>IFERROR(COUNTIFS(Ausentismo_PRE!$B$3:$B$202,B5,Ausentismo_PRE!$E$3:$E$202,"No asistió")/(COUNTIFS(Ausentismo_PRE!$B$3:$B$202,B5,Ausentismo_PRE!$E$3:$E$202,"No asistió")+COUNTIFS(Ausentismo_PRE!$B$3:$B$202,B5,Ausentismo_PRE!$E$3:$E$202,"Asistió")),"")</f>
        <v/>
      </c>
      <c r="E5" s="57">
        <f>IFERROR(COUNTIFS(Consultas_PRE!$B$3:$B$202,B5,Consultas_PRE!$F$3:$F$202,"Sí",Consultas_PRE!$G$3:$G$202,"No")/COUNTIFS(Consultas_PRE!$B$3:$B$202,B5),"")</f>
        <v/>
      </c>
      <c r="F5" s="55" t="n">
        <v>46304</v>
      </c>
      <c r="G5" s="56">
        <f>IFERROR(AVERAGEIFS(TPR_POST!$F$3:$F$202,TPR_POST!$B$3:$B$202,F5),"")</f>
        <v/>
      </c>
      <c r="H5" s="57">
        <f>IFERROR(COUNTIFS(Ausentismo_POST!$B$3:$B$202,F5,Ausentismo_POST!$E$3:$E$202,"No asistió")/(COUNTIFS(Ausentismo_POST!$B$3:$B$202,F5,Ausentismo_POST!$E$3:$E$202,"No asistió")+COUNTIFS(Ausentismo_POST!$B$3:$B$202,F5,Ausentismo_POST!$E$3:$E$202,"Asistió")),"")</f>
        <v/>
      </c>
      <c r="I5" s="57">
        <f>IFERROR(COUNTIFS(Consultas_POST!$B$3:$B$202,F5,Consultas_POST!$F$3:$F$202,"Sí",Consultas_POST!$G$3:$G$202,"No")/COUNTIFS(Consultas_POST!$B$3:$B$202,F5),"")</f>
        <v/>
      </c>
      <c r="J5" s="58">
        <f>COUNTIFS(TPR_PRE!$B$3:$B$202,B5,TPR_PRE!$F$3:$F$202,"&gt;=0")</f>
        <v/>
      </c>
      <c r="K5" s="58">
        <f>COUNTIFS(Ausentismo_PRE!$B$3:$B$202,B5,Ausentismo_PRE!$E$3:$E$202,"No asistió")+COUNTIFS(Ausentismo_PRE!$B$3:$B$202,B5,Ausentismo_PRE!$E$3:$E$202,"Asistió")</f>
        <v/>
      </c>
      <c r="L5" s="58">
        <f>COUNTIFS(Consultas_PRE!$B$3:$B$202,B5)</f>
        <v/>
      </c>
      <c r="M5" s="58">
        <f>COUNTIFS(TPR_POST!$B$3:$B$202,F5,TPR_POST!$F$3:$F$202,"&gt;=0")</f>
        <v/>
      </c>
      <c r="N5" s="58">
        <f>COUNTIFS(Ausentismo_POST!$B$3:$B$202,F5,Ausentismo_POST!$E$3:$E$202,"No asistió")+COUNTIFS(Ausentismo_POST!$B$3:$B$202,F5,Ausentismo_POST!$E$3:$E$202,"Asistió")</f>
        <v/>
      </c>
      <c r="O5" s="58">
        <f>COUNTIFS(Consultas_POST!$B$3:$B$202,F5)</f>
        <v/>
      </c>
      <c r="P5" s="58">
        <f>IF(AND(J5&gt;0,M5&gt;0),"Sí","No")</f>
        <v/>
      </c>
      <c r="Q5" s="58">
        <f>IF(AND(K5&gt;0,N5&gt;0),"Sí","No")</f>
        <v/>
      </c>
      <c r="R5" s="58">
        <f>IF(AND(L5&gt;0,O5&gt;0),"Sí","No")</f>
        <v/>
      </c>
    </row>
    <row r="6" ht="15" customHeight="1" s="27">
      <c r="A6" s="39" t="n">
        <v>5</v>
      </c>
      <c r="B6" s="55" t="n">
        <v>46276</v>
      </c>
      <c r="C6" s="56">
        <f>IFERROR(AVERAGEIFS(TPR_PRE!$F$3:$F$202,TPR_PRE!$B$3:$B$202,B6),"")</f>
        <v/>
      </c>
      <c r="D6" s="57">
        <f>IFERROR(COUNTIFS(Ausentismo_PRE!$B$3:$B$202,B6,Ausentismo_PRE!$E$3:$E$202,"No asistió")/(COUNTIFS(Ausentismo_PRE!$B$3:$B$202,B6,Ausentismo_PRE!$E$3:$E$202,"No asistió")+COUNTIFS(Ausentismo_PRE!$B$3:$B$202,B6,Ausentismo_PRE!$E$3:$E$202,"Asistió")),"")</f>
        <v/>
      </c>
      <c r="E6" s="57">
        <f>IFERROR(COUNTIFS(Consultas_PRE!$B$3:$B$202,B6,Consultas_PRE!$F$3:$F$202,"Sí",Consultas_PRE!$G$3:$G$202,"No")/COUNTIFS(Consultas_PRE!$B$3:$B$202,B6),"")</f>
        <v/>
      </c>
      <c r="F6" s="55" t="n">
        <v>46307</v>
      </c>
      <c r="G6" s="56">
        <f>IFERROR(AVERAGEIFS(TPR_POST!$F$3:$F$202,TPR_POST!$B$3:$B$202,F6),"")</f>
        <v/>
      </c>
      <c r="H6" s="57">
        <f>IFERROR(COUNTIFS(Ausentismo_POST!$B$3:$B$202,F6,Ausentismo_POST!$E$3:$E$202,"No asistió")/(COUNTIFS(Ausentismo_POST!$B$3:$B$202,F6,Ausentismo_POST!$E$3:$E$202,"No asistió")+COUNTIFS(Ausentismo_POST!$B$3:$B$202,F6,Ausentismo_POST!$E$3:$E$202,"Asistió")),"")</f>
        <v/>
      </c>
      <c r="I6" s="57">
        <f>IFERROR(COUNTIFS(Consultas_POST!$B$3:$B$202,F6,Consultas_POST!$F$3:$F$202,"Sí",Consultas_POST!$G$3:$G$202,"No")/COUNTIFS(Consultas_POST!$B$3:$B$202,F6),"")</f>
        <v/>
      </c>
      <c r="J6" s="58">
        <f>COUNTIFS(TPR_PRE!$B$3:$B$202,B6,TPR_PRE!$F$3:$F$202,"&gt;=0")</f>
        <v/>
      </c>
      <c r="K6" s="58">
        <f>COUNTIFS(Ausentismo_PRE!$B$3:$B$202,B6,Ausentismo_PRE!$E$3:$E$202,"No asistió")+COUNTIFS(Ausentismo_PRE!$B$3:$B$202,B6,Ausentismo_PRE!$E$3:$E$202,"Asistió")</f>
        <v/>
      </c>
      <c r="L6" s="58">
        <f>COUNTIFS(Consultas_PRE!$B$3:$B$202,B6)</f>
        <v/>
      </c>
      <c r="M6" s="58">
        <f>COUNTIFS(TPR_POST!$B$3:$B$202,F6,TPR_POST!$F$3:$F$202,"&gt;=0")</f>
        <v/>
      </c>
      <c r="N6" s="58">
        <f>COUNTIFS(Ausentismo_POST!$B$3:$B$202,F6,Ausentismo_POST!$E$3:$E$202,"No asistió")+COUNTIFS(Ausentismo_POST!$B$3:$B$202,F6,Ausentismo_POST!$E$3:$E$202,"Asistió")</f>
        <v/>
      </c>
      <c r="O6" s="58">
        <f>COUNTIFS(Consultas_POST!$B$3:$B$202,F6)</f>
        <v/>
      </c>
      <c r="P6" s="58">
        <f>IF(AND(J6&gt;0,M6&gt;0),"Sí","No")</f>
        <v/>
      </c>
      <c r="Q6" s="58">
        <f>IF(AND(K6&gt;0,N6&gt;0),"Sí","No")</f>
        <v/>
      </c>
      <c r="R6" s="58">
        <f>IF(AND(L6&gt;0,O6&gt;0),"Sí","No")</f>
        <v/>
      </c>
    </row>
    <row r="7" ht="15" customHeight="1" s="27">
      <c r="A7" s="39" t="n">
        <v>6</v>
      </c>
      <c r="B7" s="55" t="n">
        <v>46279</v>
      </c>
      <c r="C7" s="56">
        <f>IFERROR(AVERAGEIFS(TPR_PRE!$F$3:$F$202,TPR_PRE!$B$3:$B$202,B7),"")</f>
        <v/>
      </c>
      <c r="D7" s="57">
        <f>IFERROR(COUNTIFS(Ausentismo_PRE!$B$3:$B$202,B7,Ausentismo_PRE!$E$3:$E$202,"No asistió")/(COUNTIFS(Ausentismo_PRE!$B$3:$B$202,B7,Ausentismo_PRE!$E$3:$E$202,"No asistió")+COUNTIFS(Ausentismo_PRE!$B$3:$B$202,B7,Ausentismo_PRE!$E$3:$E$202,"Asistió")),"")</f>
        <v/>
      </c>
      <c r="E7" s="57">
        <f>IFERROR(COUNTIFS(Consultas_PRE!$B$3:$B$202,B7,Consultas_PRE!$F$3:$F$202,"Sí",Consultas_PRE!$G$3:$G$202,"No")/COUNTIFS(Consultas_PRE!$B$3:$B$202,B7),"")</f>
        <v/>
      </c>
      <c r="F7" s="55" t="n">
        <v>46309</v>
      </c>
      <c r="G7" s="56">
        <f>IFERROR(AVERAGEIFS(TPR_POST!$F$3:$F$202,TPR_POST!$B$3:$B$202,F7),"")</f>
        <v/>
      </c>
      <c r="H7" s="57">
        <f>IFERROR(COUNTIFS(Ausentismo_POST!$B$3:$B$202,F7,Ausentismo_POST!$E$3:$E$202,"No asistió")/(COUNTIFS(Ausentismo_POST!$B$3:$B$202,F7,Ausentismo_POST!$E$3:$E$202,"No asistió")+COUNTIFS(Ausentismo_POST!$B$3:$B$202,F7,Ausentismo_POST!$E$3:$E$202,"Asistió")),"")</f>
        <v/>
      </c>
      <c r="I7" s="57">
        <f>IFERROR(COUNTIFS(Consultas_POST!$B$3:$B$202,F7,Consultas_POST!$F$3:$F$202,"Sí",Consultas_POST!$G$3:$G$202,"No")/COUNTIFS(Consultas_POST!$B$3:$B$202,F7),"")</f>
        <v/>
      </c>
      <c r="J7" s="58">
        <f>COUNTIFS(TPR_PRE!$B$3:$B$202,B7,TPR_PRE!$F$3:$F$202,"&gt;=0")</f>
        <v/>
      </c>
      <c r="K7" s="58">
        <f>COUNTIFS(Ausentismo_PRE!$B$3:$B$202,B7,Ausentismo_PRE!$E$3:$E$202,"No asistió")+COUNTIFS(Ausentismo_PRE!$B$3:$B$202,B7,Ausentismo_PRE!$E$3:$E$202,"Asistió")</f>
        <v/>
      </c>
      <c r="L7" s="58">
        <f>COUNTIFS(Consultas_PRE!$B$3:$B$202,B7)</f>
        <v/>
      </c>
      <c r="M7" s="58">
        <f>COUNTIFS(TPR_POST!$B$3:$B$202,F7,TPR_POST!$F$3:$F$202,"&gt;=0")</f>
        <v/>
      </c>
      <c r="N7" s="58">
        <f>COUNTIFS(Ausentismo_POST!$B$3:$B$202,F7,Ausentismo_POST!$E$3:$E$202,"No asistió")+COUNTIFS(Ausentismo_POST!$B$3:$B$202,F7,Ausentismo_POST!$E$3:$E$202,"Asistió")</f>
        <v/>
      </c>
      <c r="O7" s="58">
        <f>COUNTIFS(Consultas_POST!$B$3:$B$202,F7)</f>
        <v/>
      </c>
      <c r="P7" s="58">
        <f>IF(AND(J7&gt;0,M7&gt;0),"Sí","No")</f>
        <v/>
      </c>
      <c r="Q7" s="58">
        <f>IF(AND(K7&gt;0,N7&gt;0),"Sí","No")</f>
        <v/>
      </c>
      <c r="R7" s="58">
        <f>IF(AND(L7&gt;0,O7&gt;0),"Sí","No")</f>
        <v/>
      </c>
    </row>
    <row r="8" ht="15" customHeight="1" s="27">
      <c r="A8" s="39" t="n">
        <v>7</v>
      </c>
      <c r="B8" s="55" t="n">
        <v>46281</v>
      </c>
      <c r="C8" s="56">
        <f>IFERROR(AVERAGEIFS(TPR_PRE!$F$3:$F$202,TPR_PRE!$B$3:$B$202,B8),"")</f>
        <v/>
      </c>
      <c r="D8" s="57">
        <f>IFERROR(COUNTIFS(Ausentismo_PRE!$B$3:$B$202,B8,Ausentismo_PRE!$E$3:$E$202,"No asistió")/(COUNTIFS(Ausentismo_PRE!$B$3:$B$202,B8,Ausentismo_PRE!$E$3:$E$202,"No asistió")+COUNTIFS(Ausentismo_PRE!$B$3:$B$202,B8,Ausentismo_PRE!$E$3:$E$202,"Asistió")),"")</f>
        <v/>
      </c>
      <c r="E8" s="57">
        <f>IFERROR(COUNTIFS(Consultas_PRE!$B$3:$B$202,B8,Consultas_PRE!$F$3:$F$202,"Sí",Consultas_PRE!$G$3:$G$202,"No")/COUNTIFS(Consultas_PRE!$B$3:$B$202,B8),"")</f>
        <v/>
      </c>
      <c r="F8" s="55" t="n">
        <v>46311</v>
      </c>
      <c r="G8" s="56">
        <f>IFERROR(AVERAGEIFS(TPR_POST!$F$3:$F$202,TPR_POST!$B$3:$B$202,F8),"")</f>
        <v/>
      </c>
      <c r="H8" s="57">
        <f>IFERROR(COUNTIFS(Ausentismo_POST!$B$3:$B$202,F8,Ausentismo_POST!$E$3:$E$202,"No asistió")/(COUNTIFS(Ausentismo_POST!$B$3:$B$202,F8,Ausentismo_POST!$E$3:$E$202,"No asistió")+COUNTIFS(Ausentismo_POST!$B$3:$B$202,F8,Ausentismo_POST!$E$3:$E$202,"Asistió")),"")</f>
        <v/>
      </c>
      <c r="I8" s="57">
        <f>IFERROR(COUNTIFS(Consultas_POST!$B$3:$B$202,F8,Consultas_POST!$F$3:$F$202,"Sí",Consultas_POST!$G$3:$G$202,"No")/COUNTIFS(Consultas_POST!$B$3:$B$202,F8),"")</f>
        <v/>
      </c>
      <c r="J8" s="58">
        <f>COUNTIFS(TPR_PRE!$B$3:$B$202,B8,TPR_PRE!$F$3:$F$202,"&gt;=0")</f>
        <v/>
      </c>
      <c r="K8" s="58">
        <f>COUNTIFS(Ausentismo_PRE!$B$3:$B$202,B8,Ausentismo_PRE!$E$3:$E$202,"No asistió")+COUNTIFS(Ausentismo_PRE!$B$3:$B$202,B8,Ausentismo_PRE!$E$3:$E$202,"Asistió")</f>
        <v/>
      </c>
      <c r="L8" s="58">
        <f>COUNTIFS(Consultas_PRE!$B$3:$B$202,B8)</f>
        <v/>
      </c>
      <c r="M8" s="58">
        <f>COUNTIFS(TPR_POST!$B$3:$B$202,F8,TPR_POST!$F$3:$F$202,"&gt;=0")</f>
        <v/>
      </c>
      <c r="N8" s="58">
        <f>COUNTIFS(Ausentismo_POST!$B$3:$B$202,F8,Ausentismo_POST!$E$3:$E$202,"No asistió")+COUNTIFS(Ausentismo_POST!$B$3:$B$202,F8,Ausentismo_POST!$E$3:$E$202,"Asistió")</f>
        <v/>
      </c>
      <c r="O8" s="58">
        <f>COUNTIFS(Consultas_POST!$B$3:$B$202,F8)</f>
        <v/>
      </c>
      <c r="P8" s="58">
        <f>IF(AND(J8&gt;0,M8&gt;0),"Sí","No")</f>
        <v/>
      </c>
      <c r="Q8" s="58">
        <f>IF(AND(K8&gt;0,N8&gt;0),"Sí","No")</f>
        <v/>
      </c>
      <c r="R8" s="58">
        <f>IF(AND(L8&gt;0,O8&gt;0),"Sí","No")</f>
        <v/>
      </c>
    </row>
    <row r="9" ht="15" customHeight="1" s="27">
      <c r="A9" s="39" t="n">
        <v>8</v>
      </c>
      <c r="B9" s="55" t="n">
        <v>46283</v>
      </c>
      <c r="C9" s="56">
        <f>IFERROR(AVERAGEIFS(TPR_PRE!$F$3:$F$202,TPR_PRE!$B$3:$B$202,B9),"")</f>
        <v/>
      </c>
      <c r="D9" s="57">
        <f>IFERROR(COUNTIFS(Ausentismo_PRE!$B$3:$B$202,B9,Ausentismo_PRE!$E$3:$E$202,"No asistió")/(COUNTIFS(Ausentismo_PRE!$B$3:$B$202,B9,Ausentismo_PRE!$E$3:$E$202,"No asistió")+COUNTIFS(Ausentismo_PRE!$B$3:$B$202,B9,Ausentismo_PRE!$E$3:$E$202,"Asistió")),"")</f>
        <v/>
      </c>
      <c r="E9" s="57">
        <f>IFERROR(COUNTIFS(Consultas_PRE!$B$3:$B$202,B9,Consultas_PRE!$F$3:$F$202,"Sí",Consultas_PRE!$G$3:$G$202,"No")/COUNTIFS(Consultas_PRE!$B$3:$B$202,B9),"")</f>
        <v/>
      </c>
      <c r="F9" s="55" t="n">
        <v>46314</v>
      </c>
      <c r="G9" s="56">
        <f>IFERROR(AVERAGEIFS(TPR_POST!$F$3:$F$202,TPR_POST!$B$3:$B$202,F9),"")</f>
        <v/>
      </c>
      <c r="H9" s="57">
        <f>IFERROR(COUNTIFS(Ausentismo_POST!$B$3:$B$202,F9,Ausentismo_POST!$E$3:$E$202,"No asistió")/(COUNTIFS(Ausentismo_POST!$B$3:$B$202,F9,Ausentismo_POST!$E$3:$E$202,"No asistió")+COUNTIFS(Ausentismo_POST!$B$3:$B$202,F9,Ausentismo_POST!$E$3:$E$202,"Asistió")),"")</f>
        <v/>
      </c>
      <c r="I9" s="57">
        <f>IFERROR(COUNTIFS(Consultas_POST!$B$3:$B$202,F9,Consultas_POST!$F$3:$F$202,"Sí",Consultas_POST!$G$3:$G$202,"No")/COUNTIFS(Consultas_POST!$B$3:$B$202,F9),"")</f>
        <v/>
      </c>
      <c r="J9" s="58">
        <f>COUNTIFS(TPR_PRE!$B$3:$B$202,B9,TPR_PRE!$F$3:$F$202,"&gt;=0")</f>
        <v/>
      </c>
      <c r="K9" s="58">
        <f>COUNTIFS(Ausentismo_PRE!$B$3:$B$202,B9,Ausentismo_PRE!$E$3:$E$202,"No asistió")+COUNTIFS(Ausentismo_PRE!$B$3:$B$202,B9,Ausentismo_PRE!$E$3:$E$202,"Asistió")</f>
        <v/>
      </c>
      <c r="L9" s="58">
        <f>COUNTIFS(Consultas_PRE!$B$3:$B$202,B9)</f>
        <v/>
      </c>
      <c r="M9" s="58">
        <f>COUNTIFS(TPR_POST!$B$3:$B$202,F9,TPR_POST!$F$3:$F$202,"&gt;=0")</f>
        <v/>
      </c>
      <c r="N9" s="58">
        <f>COUNTIFS(Ausentismo_POST!$B$3:$B$202,F9,Ausentismo_POST!$E$3:$E$202,"No asistió")+COUNTIFS(Ausentismo_POST!$B$3:$B$202,F9,Ausentismo_POST!$E$3:$E$202,"Asistió")</f>
        <v/>
      </c>
      <c r="O9" s="58">
        <f>COUNTIFS(Consultas_POST!$B$3:$B$202,F9)</f>
        <v/>
      </c>
      <c r="P9" s="58">
        <f>IF(AND(J9&gt;0,M9&gt;0),"Sí","No")</f>
        <v/>
      </c>
      <c r="Q9" s="58">
        <f>IF(AND(K9&gt;0,N9&gt;0),"Sí","No")</f>
        <v/>
      </c>
      <c r="R9" s="58">
        <f>IF(AND(L9&gt;0,O9&gt;0),"Sí","No")</f>
        <v/>
      </c>
    </row>
    <row r="10" ht="15" customHeight="1" s="27">
      <c r="A10" s="39" t="n">
        <v>9</v>
      </c>
      <c r="B10" s="55" t="n">
        <v>46286</v>
      </c>
      <c r="C10" s="56">
        <f>IFERROR(AVERAGEIFS(TPR_PRE!$F$3:$F$202,TPR_PRE!$B$3:$B$202,B10),"")</f>
        <v/>
      </c>
      <c r="D10" s="57">
        <f>IFERROR(COUNTIFS(Ausentismo_PRE!$B$3:$B$202,B10,Ausentismo_PRE!$E$3:$E$202,"No asistió")/(COUNTIFS(Ausentismo_PRE!$B$3:$B$202,B10,Ausentismo_PRE!$E$3:$E$202,"No asistió")+COUNTIFS(Ausentismo_PRE!$B$3:$B$202,B10,Ausentismo_PRE!$E$3:$E$202,"Asistió")),"")</f>
        <v/>
      </c>
      <c r="E10" s="57">
        <f>IFERROR(COUNTIFS(Consultas_PRE!$B$3:$B$202,B10,Consultas_PRE!$F$3:$F$202,"Sí",Consultas_PRE!$G$3:$G$202,"No")/COUNTIFS(Consultas_PRE!$B$3:$B$202,B10),"")</f>
        <v/>
      </c>
      <c r="F10" s="55" t="n">
        <v>46316</v>
      </c>
      <c r="G10" s="56">
        <f>IFERROR(AVERAGEIFS(TPR_POST!$F$3:$F$202,TPR_POST!$B$3:$B$202,F10),"")</f>
        <v/>
      </c>
      <c r="H10" s="57">
        <f>IFERROR(COUNTIFS(Ausentismo_POST!$B$3:$B$202,F10,Ausentismo_POST!$E$3:$E$202,"No asistió")/(COUNTIFS(Ausentismo_POST!$B$3:$B$202,F10,Ausentismo_POST!$E$3:$E$202,"No asistió")+COUNTIFS(Ausentismo_POST!$B$3:$B$202,F10,Ausentismo_POST!$E$3:$E$202,"Asistió")),"")</f>
        <v/>
      </c>
      <c r="I10" s="57">
        <f>IFERROR(COUNTIFS(Consultas_POST!$B$3:$B$202,F10,Consultas_POST!$F$3:$F$202,"Sí",Consultas_POST!$G$3:$G$202,"No")/COUNTIFS(Consultas_POST!$B$3:$B$202,F10),"")</f>
        <v/>
      </c>
      <c r="J10" s="58">
        <f>COUNTIFS(TPR_PRE!$B$3:$B$202,B10,TPR_PRE!$F$3:$F$202,"&gt;=0")</f>
        <v/>
      </c>
      <c r="K10" s="58">
        <f>COUNTIFS(Ausentismo_PRE!$B$3:$B$202,B10,Ausentismo_PRE!$E$3:$E$202,"No asistió")+COUNTIFS(Ausentismo_PRE!$B$3:$B$202,B10,Ausentismo_PRE!$E$3:$E$202,"Asistió")</f>
        <v/>
      </c>
      <c r="L10" s="58">
        <f>COUNTIFS(Consultas_PRE!$B$3:$B$202,B10)</f>
        <v/>
      </c>
      <c r="M10" s="58">
        <f>COUNTIFS(TPR_POST!$B$3:$B$202,F10,TPR_POST!$F$3:$F$202,"&gt;=0")</f>
        <v/>
      </c>
      <c r="N10" s="58">
        <f>COUNTIFS(Ausentismo_POST!$B$3:$B$202,F10,Ausentismo_POST!$E$3:$E$202,"No asistió")+COUNTIFS(Ausentismo_POST!$B$3:$B$202,F10,Ausentismo_POST!$E$3:$E$202,"Asistió")</f>
        <v/>
      </c>
      <c r="O10" s="58">
        <f>COUNTIFS(Consultas_POST!$B$3:$B$202,F10)</f>
        <v/>
      </c>
      <c r="P10" s="58">
        <f>IF(AND(J10&gt;0,M10&gt;0),"Sí","No")</f>
        <v/>
      </c>
      <c r="Q10" s="58">
        <f>IF(AND(K10&gt;0,N10&gt;0),"Sí","No")</f>
        <v/>
      </c>
      <c r="R10" s="58">
        <f>IF(AND(L10&gt;0,O10&gt;0),"Sí","No")</f>
        <v/>
      </c>
    </row>
    <row r="11" ht="15" customHeight="1" s="27">
      <c r="A11" s="39" t="n">
        <v>10</v>
      </c>
      <c r="B11" s="55" t="n">
        <v>46288</v>
      </c>
      <c r="C11" s="56">
        <f>IFERROR(AVERAGEIFS(TPR_PRE!$F$3:$F$202,TPR_PRE!$B$3:$B$202,B11),"")</f>
        <v/>
      </c>
      <c r="D11" s="57">
        <f>IFERROR(COUNTIFS(Ausentismo_PRE!$B$3:$B$202,B11,Ausentismo_PRE!$E$3:$E$202,"No asistió")/(COUNTIFS(Ausentismo_PRE!$B$3:$B$202,B11,Ausentismo_PRE!$E$3:$E$202,"No asistió")+COUNTIFS(Ausentismo_PRE!$B$3:$B$202,B11,Ausentismo_PRE!$E$3:$E$202,"Asistió")),"")</f>
        <v/>
      </c>
      <c r="E11" s="57">
        <f>IFERROR(COUNTIFS(Consultas_PRE!$B$3:$B$202,B11,Consultas_PRE!$F$3:$F$202,"Sí",Consultas_PRE!$G$3:$G$202,"No")/COUNTIFS(Consultas_PRE!$B$3:$B$202,B11),"")</f>
        <v/>
      </c>
      <c r="F11" s="55" t="n">
        <v>46318</v>
      </c>
      <c r="G11" s="56">
        <f>IFERROR(AVERAGEIFS(TPR_POST!$F$3:$F$202,TPR_POST!$B$3:$B$202,F11),"")</f>
        <v/>
      </c>
      <c r="H11" s="57">
        <f>IFERROR(COUNTIFS(Ausentismo_POST!$B$3:$B$202,F11,Ausentismo_POST!$E$3:$E$202,"No asistió")/(COUNTIFS(Ausentismo_POST!$B$3:$B$202,F11,Ausentismo_POST!$E$3:$E$202,"No asistió")+COUNTIFS(Ausentismo_POST!$B$3:$B$202,F11,Ausentismo_POST!$E$3:$E$202,"Asistió")),"")</f>
        <v/>
      </c>
      <c r="I11" s="57">
        <f>IFERROR(COUNTIFS(Consultas_POST!$B$3:$B$202,F11,Consultas_POST!$F$3:$F$202,"Sí",Consultas_POST!$G$3:$G$202,"No")/COUNTIFS(Consultas_POST!$B$3:$B$202,F11),"")</f>
        <v/>
      </c>
      <c r="J11" s="58">
        <f>COUNTIFS(TPR_PRE!$B$3:$B$202,B11,TPR_PRE!$F$3:$F$202,"&gt;=0")</f>
        <v/>
      </c>
      <c r="K11" s="58">
        <f>COUNTIFS(Ausentismo_PRE!$B$3:$B$202,B11,Ausentismo_PRE!$E$3:$E$202,"No asistió")+COUNTIFS(Ausentismo_PRE!$B$3:$B$202,B11,Ausentismo_PRE!$E$3:$E$202,"Asistió")</f>
        <v/>
      </c>
      <c r="L11" s="58">
        <f>COUNTIFS(Consultas_PRE!$B$3:$B$202,B11)</f>
        <v/>
      </c>
      <c r="M11" s="58">
        <f>COUNTIFS(TPR_POST!$B$3:$B$202,F11,TPR_POST!$F$3:$F$202,"&gt;=0")</f>
        <v/>
      </c>
      <c r="N11" s="58">
        <f>COUNTIFS(Ausentismo_POST!$B$3:$B$202,F11,Ausentismo_POST!$E$3:$E$202,"No asistió")+COUNTIFS(Ausentismo_POST!$B$3:$B$202,F11,Ausentismo_POST!$E$3:$E$202,"Asistió")</f>
        <v/>
      </c>
      <c r="O11" s="58">
        <f>COUNTIFS(Consultas_POST!$B$3:$B$202,F11)</f>
        <v/>
      </c>
      <c r="P11" s="58">
        <f>IF(AND(J11&gt;0,M11&gt;0),"Sí","No")</f>
        <v/>
      </c>
      <c r="Q11" s="58">
        <f>IF(AND(K11&gt;0,N11&gt;0),"Sí","No")</f>
        <v/>
      </c>
      <c r="R11" s="58">
        <f>IF(AND(L11&gt;0,O11&gt;0),"Sí","No")</f>
        <v/>
      </c>
    </row>
    <row r="12" ht="15" customHeight="1" s="27">
      <c r="A12" s="39" t="n">
        <v>11</v>
      </c>
      <c r="B12" s="55" t="n">
        <v>46290</v>
      </c>
      <c r="C12" s="56">
        <f>IFERROR(AVERAGEIFS(TPR_PRE!$F$3:$F$202,TPR_PRE!$B$3:$B$202,B12),"")</f>
        <v/>
      </c>
      <c r="D12" s="57">
        <f>IFERROR(COUNTIFS(Ausentismo_PRE!$B$3:$B$202,B12,Ausentismo_PRE!$E$3:$E$202,"No asistió")/(COUNTIFS(Ausentismo_PRE!$B$3:$B$202,B12,Ausentismo_PRE!$E$3:$E$202,"No asistió")+COUNTIFS(Ausentismo_PRE!$B$3:$B$202,B12,Ausentismo_PRE!$E$3:$E$202,"Asistió")),"")</f>
        <v/>
      </c>
      <c r="E12" s="57">
        <f>IFERROR(COUNTIFS(Consultas_PRE!$B$3:$B$202,B12,Consultas_PRE!$F$3:$F$202,"Sí",Consultas_PRE!$G$3:$G$202,"No")/COUNTIFS(Consultas_PRE!$B$3:$B$202,B12),"")</f>
        <v/>
      </c>
      <c r="F12" s="55" t="n">
        <v>46321</v>
      </c>
      <c r="G12" s="56">
        <f>IFERROR(AVERAGEIFS(TPR_POST!$F$3:$F$202,TPR_POST!$B$3:$B$202,F12),"")</f>
        <v/>
      </c>
      <c r="H12" s="57">
        <f>IFERROR(COUNTIFS(Ausentismo_POST!$B$3:$B$202,F12,Ausentismo_POST!$E$3:$E$202,"No asistió")/(COUNTIFS(Ausentismo_POST!$B$3:$B$202,F12,Ausentismo_POST!$E$3:$E$202,"No asistió")+COUNTIFS(Ausentismo_POST!$B$3:$B$202,F12,Ausentismo_POST!$E$3:$E$202,"Asistió")),"")</f>
        <v/>
      </c>
      <c r="I12" s="57">
        <f>IFERROR(COUNTIFS(Consultas_POST!$B$3:$B$202,F12,Consultas_POST!$F$3:$F$202,"Sí",Consultas_POST!$G$3:$G$202,"No")/COUNTIFS(Consultas_POST!$B$3:$B$202,F12),"")</f>
        <v/>
      </c>
      <c r="J12" s="58">
        <f>COUNTIFS(TPR_PRE!$B$3:$B$202,B12,TPR_PRE!$F$3:$F$202,"&gt;=0")</f>
        <v/>
      </c>
      <c r="K12" s="58">
        <f>COUNTIFS(Ausentismo_PRE!$B$3:$B$202,B12,Ausentismo_PRE!$E$3:$E$202,"No asistió")+COUNTIFS(Ausentismo_PRE!$B$3:$B$202,B12,Ausentismo_PRE!$E$3:$E$202,"Asistió")</f>
        <v/>
      </c>
      <c r="L12" s="58">
        <f>COUNTIFS(Consultas_PRE!$B$3:$B$202,B12)</f>
        <v/>
      </c>
      <c r="M12" s="58">
        <f>COUNTIFS(TPR_POST!$B$3:$B$202,F12,TPR_POST!$F$3:$F$202,"&gt;=0")</f>
        <v/>
      </c>
      <c r="N12" s="58">
        <f>COUNTIFS(Ausentismo_POST!$B$3:$B$202,F12,Ausentismo_POST!$E$3:$E$202,"No asistió")+COUNTIFS(Ausentismo_POST!$B$3:$B$202,F12,Ausentismo_POST!$E$3:$E$202,"Asistió")</f>
        <v/>
      </c>
      <c r="O12" s="58">
        <f>COUNTIFS(Consultas_POST!$B$3:$B$202,F12)</f>
        <v/>
      </c>
      <c r="P12" s="58">
        <f>IF(AND(J12&gt;0,M12&gt;0),"Sí","No")</f>
        <v/>
      </c>
      <c r="Q12" s="58">
        <f>IF(AND(K12&gt;0,N12&gt;0),"Sí","No")</f>
        <v/>
      </c>
      <c r="R12" s="58">
        <f>IF(AND(L12&gt;0,O12&gt;0),"Sí","No")</f>
        <v/>
      </c>
    </row>
    <row r="13" ht="15" customHeight="1" s="27">
      <c r="A13" s="39" t="n">
        <v>12</v>
      </c>
      <c r="B13" s="55" t="n">
        <v>46293</v>
      </c>
      <c r="C13" s="56">
        <f>IFERROR(AVERAGEIFS(TPR_PRE!$F$3:$F$202,TPR_PRE!$B$3:$B$202,B13),"")</f>
        <v/>
      </c>
      <c r="D13" s="57">
        <f>IFERROR(COUNTIFS(Ausentismo_PRE!$B$3:$B$202,B13,Ausentismo_PRE!$E$3:$E$202,"No asistió")/(COUNTIFS(Ausentismo_PRE!$B$3:$B$202,B13,Ausentismo_PRE!$E$3:$E$202,"No asistió")+COUNTIFS(Ausentismo_PRE!$B$3:$B$202,B13,Ausentismo_PRE!$E$3:$E$202,"Asistió")),"")</f>
        <v/>
      </c>
      <c r="E13" s="57">
        <f>IFERROR(COUNTIFS(Consultas_PRE!$B$3:$B$202,B13,Consultas_PRE!$F$3:$F$202,"Sí",Consultas_PRE!$G$3:$G$202,"No")/COUNTIFS(Consultas_PRE!$B$3:$B$202,B13),"")</f>
        <v/>
      </c>
      <c r="F13" s="55" t="n">
        <v>46323</v>
      </c>
      <c r="G13" s="56">
        <f>IFERROR(AVERAGEIFS(TPR_POST!$F$3:$F$202,TPR_POST!$B$3:$B$202,F13),"")</f>
        <v/>
      </c>
      <c r="H13" s="57">
        <f>IFERROR(COUNTIFS(Ausentismo_POST!$B$3:$B$202,F13,Ausentismo_POST!$E$3:$E$202,"No asistió")/(COUNTIFS(Ausentismo_POST!$B$3:$B$202,F13,Ausentismo_POST!$E$3:$E$202,"No asistió")+COUNTIFS(Ausentismo_POST!$B$3:$B$202,F13,Ausentismo_POST!$E$3:$E$202,"Asistió")),"")</f>
        <v/>
      </c>
      <c r="I13" s="57">
        <f>IFERROR(COUNTIFS(Consultas_POST!$B$3:$B$202,F13,Consultas_POST!$F$3:$F$202,"Sí",Consultas_POST!$G$3:$G$202,"No")/COUNTIFS(Consultas_POST!$B$3:$B$202,F13),"")</f>
        <v/>
      </c>
      <c r="J13" s="58">
        <f>COUNTIFS(TPR_PRE!$B$3:$B$202,B13,TPR_PRE!$F$3:$F$202,"&gt;=0")</f>
        <v/>
      </c>
      <c r="K13" s="58">
        <f>COUNTIFS(Ausentismo_PRE!$B$3:$B$202,B13,Ausentismo_PRE!$E$3:$E$202,"No asistió")+COUNTIFS(Ausentismo_PRE!$B$3:$B$202,B13,Ausentismo_PRE!$E$3:$E$202,"Asistió")</f>
        <v/>
      </c>
      <c r="L13" s="58">
        <f>COUNTIFS(Consultas_PRE!$B$3:$B$202,B13)</f>
        <v/>
      </c>
      <c r="M13" s="58">
        <f>COUNTIFS(TPR_POST!$B$3:$B$202,F13,TPR_POST!$F$3:$F$202,"&gt;=0")</f>
        <v/>
      </c>
      <c r="N13" s="58">
        <f>COUNTIFS(Ausentismo_POST!$B$3:$B$202,F13,Ausentismo_POST!$E$3:$E$202,"No asistió")+COUNTIFS(Ausentismo_POST!$B$3:$B$202,F13,Ausentismo_POST!$E$3:$E$202,"Asistió")</f>
        <v/>
      </c>
      <c r="O13" s="58">
        <f>COUNTIFS(Consultas_POST!$B$3:$B$202,F13)</f>
        <v/>
      </c>
      <c r="P13" s="58">
        <f>IF(AND(J13&gt;0,M13&gt;0),"Sí","No")</f>
        <v/>
      </c>
      <c r="Q13" s="58">
        <f>IF(AND(K13&gt;0,N13&gt;0),"Sí","No")</f>
        <v/>
      </c>
      <c r="R13" s="58">
        <f>IF(AND(L13&gt;0,O13&gt;0),"Sí","No")</f>
        <v/>
      </c>
    </row>
    <row r="14" ht="15" customHeight="1" s="27">
      <c r="A14" s="39" t="n">
        <v>13</v>
      </c>
      <c r="B14" s="55" t="n">
        <v>46295</v>
      </c>
      <c r="C14" s="56">
        <f>IFERROR(AVERAGEIFS(TPR_PRE!$F$3:$F$202,TPR_PRE!$B$3:$B$202,B14),"")</f>
        <v/>
      </c>
      <c r="D14" s="57">
        <f>IFERROR(COUNTIFS(Ausentismo_PRE!$B$3:$B$202,B14,Ausentismo_PRE!$E$3:$E$202,"No asistió")/(COUNTIFS(Ausentismo_PRE!$B$3:$B$202,B14,Ausentismo_PRE!$E$3:$E$202,"No asistió")+COUNTIFS(Ausentismo_PRE!$B$3:$B$202,B14,Ausentismo_PRE!$E$3:$E$202,"Asistió")),"")</f>
        <v/>
      </c>
      <c r="E14" s="57">
        <f>IFERROR(COUNTIFS(Consultas_PRE!$B$3:$B$202,B14,Consultas_PRE!$F$3:$F$202,"Sí",Consultas_PRE!$G$3:$G$202,"No")/COUNTIFS(Consultas_PRE!$B$3:$B$202,B14),"")</f>
        <v/>
      </c>
      <c r="F14" s="55" t="n">
        <v>46325</v>
      </c>
      <c r="G14" s="56">
        <f>IFERROR(AVERAGEIFS(TPR_POST!$F$3:$F$202,TPR_POST!$B$3:$B$202,F14),"")</f>
        <v/>
      </c>
      <c r="H14" s="57">
        <f>IFERROR(COUNTIFS(Ausentismo_POST!$B$3:$B$202,F14,Ausentismo_POST!$E$3:$E$202,"No asistió")/(COUNTIFS(Ausentismo_POST!$B$3:$B$202,F14,Ausentismo_POST!$E$3:$E$202,"No asistió")+COUNTIFS(Ausentismo_POST!$B$3:$B$202,F14,Ausentismo_POST!$E$3:$E$202,"Asistió")),"")</f>
        <v/>
      </c>
      <c r="I14" s="57">
        <f>IFERROR(COUNTIFS(Consultas_POST!$B$3:$B$202,F14,Consultas_POST!$F$3:$F$202,"Sí",Consultas_POST!$G$3:$G$202,"No")/COUNTIFS(Consultas_POST!$B$3:$B$202,F14),"")</f>
        <v/>
      </c>
      <c r="J14" s="58">
        <f>COUNTIFS(TPR_PRE!$B$3:$B$202,B14,TPR_PRE!$F$3:$F$202,"&gt;=0")</f>
        <v/>
      </c>
      <c r="K14" s="58">
        <f>COUNTIFS(Ausentismo_PRE!$B$3:$B$202,B14,Ausentismo_PRE!$E$3:$E$202,"No asistió")+COUNTIFS(Ausentismo_PRE!$B$3:$B$202,B14,Ausentismo_PRE!$E$3:$E$202,"Asistió")</f>
        <v/>
      </c>
      <c r="L14" s="58">
        <f>COUNTIFS(Consultas_PRE!$B$3:$B$202,B14)</f>
        <v/>
      </c>
      <c r="M14" s="58">
        <f>COUNTIFS(TPR_POST!$B$3:$B$202,F14,TPR_POST!$F$3:$F$202,"&gt;=0")</f>
        <v/>
      </c>
      <c r="N14" s="58">
        <f>COUNTIFS(Ausentismo_POST!$B$3:$B$202,F14,Ausentismo_POST!$E$3:$E$202,"No asistió")+COUNTIFS(Ausentismo_POST!$B$3:$B$202,F14,Ausentismo_POST!$E$3:$E$202,"Asistió")</f>
        <v/>
      </c>
      <c r="O14" s="58">
        <f>COUNTIFS(Consultas_POST!$B$3:$B$202,F14)</f>
        <v/>
      </c>
      <c r="P14" s="58">
        <f>IF(AND(J14&gt;0,M14&gt;0),"Sí","No")</f>
        <v/>
      </c>
      <c r="Q14" s="58">
        <f>IF(AND(K14&gt;0,N14&gt;0),"Sí","No")</f>
        <v/>
      </c>
      <c r="R14" s="58">
        <f>IF(AND(L14&gt;0,O14&gt;0),"Sí","No")</f>
        <v/>
      </c>
    </row>
    <row r="16" ht="15" customHeight="1" s="27">
      <c r="A16" s="34" t="inlineStr">
        <is>
          <t>Esta hoja se calcula automáticamente a partir de las hojas TPR/Ausentismo/Consultas PRE y POST. No editar manualmente.</t>
        </is>
      </c>
    </row>
  </sheetData>
  <mergeCells count="1"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16" customWidth="1" style="26" min="2" max="4"/>
    <col width="40" customWidth="1" style="26" min="5" max="5"/>
    <col width="18" customWidth="1" style="27" min="6" max="6"/>
    <col width="18" customWidth="1" style="27" min="7" max="7"/>
    <col width="18" customWidth="1" style="27" min="8" max="8"/>
  </cols>
  <sheetData>
    <row r="1" ht="31.5" customHeight="1" s="27">
      <c r="A1" s="38" t="inlineStr">
        <is>
          <t>Indicador</t>
        </is>
      </c>
      <c r="B1" s="38" t="inlineStr">
        <is>
          <t>PRE
(promedio 13 sesiones)</t>
        </is>
      </c>
      <c r="C1" s="38" t="inlineStr">
        <is>
          <t>POST
(promedio 13 sesiones)</t>
        </is>
      </c>
      <c r="D1" s="38" t="inlineStr">
        <is>
          <t>Diferencia</t>
        </is>
      </c>
      <c r="E1" s="38" t="inlineStr">
        <is>
          <t>Dirección esperada</t>
        </is>
      </c>
      <c r="F1" s="42" t="inlineStr">
        <is>
          <t>Valor global PRE
(todos los eventos)</t>
        </is>
      </c>
      <c r="G1" s="42" t="inlineStr">
        <is>
          <t>Valor global POST
(todos los eventos)</t>
        </is>
      </c>
      <c r="H1" s="42" t="inlineStr">
        <is>
          <t>Pares
válidos</t>
        </is>
      </c>
    </row>
    <row r="2" ht="30" customHeight="1" s="27">
      <c r="A2" s="59" t="inlineStr">
        <is>
          <t>Tiempo Promedio de Registro (TPR, min)</t>
        </is>
      </c>
      <c r="B2" s="56">
        <f>IFERROR(AVERAGE(Sesiones!C2:C14),"")</f>
        <v/>
      </c>
      <c r="C2" s="56">
        <f>IFERROR(AVERAGE(Sesiones!G2:G14),"")</f>
        <v/>
      </c>
      <c r="D2" s="56">
        <f>IFERROR(C2-B2,"")</f>
        <v/>
      </c>
      <c r="E2" s="60" t="inlineStr">
        <is>
          <t>PRE &gt; POST (se espera reducción)</t>
        </is>
      </c>
      <c r="F2" s="61">
        <f>IFERROR(AVERAGE(TPR_PRE!F3:F202),"")</f>
        <v/>
      </c>
      <c r="G2" s="61">
        <f>IFERROR(AVERAGE(TPR_POST!F3:F202),"")</f>
        <v/>
      </c>
      <c r="H2" s="62">
        <f>COUNTIF(Sesiones!P2:P14,"Sí")</f>
        <v/>
      </c>
    </row>
    <row r="3" ht="30" customHeight="1" s="27">
      <c r="A3" s="59" t="inlineStr">
        <is>
          <t>Tasa de Ausentismo (%)</t>
        </is>
      </c>
      <c r="B3" s="57">
        <f>IFERROR(AVERAGE(Sesiones!D2:D14),"")</f>
        <v/>
      </c>
      <c r="C3" s="57">
        <f>IFERROR(AVERAGE(Sesiones!H2:H14),"")</f>
        <v/>
      </c>
      <c r="D3" s="57">
        <f>IFERROR(C3-B3,"")</f>
        <v/>
      </c>
      <c r="E3" s="60" t="inlineStr">
        <is>
          <t>PRE &gt; POST (se espera reducción)</t>
        </is>
      </c>
      <c r="F3" s="63">
        <f>IFERROR(COUNTIF(Ausentismo_PRE!E3:E202,"No asistió")/(COUNTIF(Ausentismo_PRE!E3:E202,"No asistió")+COUNTIF(Ausentismo_PRE!E3:E202,"Asistió")),"")</f>
        <v/>
      </c>
      <c r="G3" s="63">
        <f>IFERROR(COUNTIF(Ausentismo_POST!E3:E202,"No asistió")/(COUNTIF(Ausentismo_POST!E3:E202,"No asistió")+COUNTIF(Ausentismo_POST!E3:E202,"Asistió")),"")</f>
        <v/>
      </c>
      <c r="H3" s="62">
        <f>COUNTIF(Sesiones!Q2:Q14,"Sí")</f>
        <v/>
      </c>
    </row>
    <row r="4" ht="30" customHeight="1" s="27">
      <c r="A4" s="59" t="inlineStr">
        <is>
          <t>Nivel de Consultas Atendidas (%)</t>
        </is>
      </c>
      <c r="B4" s="57">
        <f>IFERROR(AVERAGE(Sesiones!E2:E14),"")</f>
        <v/>
      </c>
      <c r="C4" s="57">
        <f>IFERROR(AVERAGE(Sesiones!I2:I14),"")</f>
        <v/>
      </c>
      <c r="D4" s="57">
        <f>IFERROR(C4-B4,"")</f>
        <v/>
      </c>
      <c r="E4" s="60" t="inlineStr">
        <is>
          <t>POST &gt; PRE (se espera aumento)</t>
        </is>
      </c>
      <c r="F4" s="63">
        <f>IFERROR(COUNTIFS(Consultas_PRE!F3:F202,"Sí",Consultas_PRE!G3:G202,"No")/COUNT(Consultas_PRE!B3:B202),"")</f>
        <v/>
      </c>
      <c r="G4" s="63">
        <f>IFERROR(COUNTIFS(Consultas_POST!F3:F202,"Sí",Consultas_POST!G3:G202,"No")/COUNT(Consultas_POST!B3:B202),"")</f>
        <v/>
      </c>
      <c r="H4" s="62">
        <f>COUNTIF(Sesiones!R2:R14,"Sí")</f>
        <v/>
      </c>
    </row>
    <row r="6">
      <c r="A6" s="26" t="inlineStr">
        <is>
          <t>Los valores PRE y POST (columnas B y C) son el promedio de los valores por sesión; las columnas F y G calculan el indicador sobre el total de eventos de cada etapa. El contraste estadístico se realiza en SPSS con los pares válidos de la hoja Sesiones.</t>
        </is>
      </c>
    </row>
    <row r="7" ht="15" customHeight="1" s="27">
      <c r="A7" s="34" t="inlineStr">
        <is>
          <t>Los valores se calculan automáticamente a partir de la hoja Sesiones, que a su vez se alimenta de los registros reales ingresados en las hojas PRE/POST.</t>
        </is>
      </c>
    </row>
  </sheetData>
  <mergeCells count="1">
    <mergeCell ref="A7:E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2026-09-26T20:21:08Z</dcterms:created>
  <dcterms:modified xmlns:dcterms="http://purl.org/dc/terms/" xmlns:xsi="http://www.w3.org/2001/XMLSchema-instance" xsi:type="dcterms:W3CDTF">2026-09-26T21:37:33Z</dcterms:modified>
  <cp:revision>0</cp:revision>
</cp:coreProperties>
</file>