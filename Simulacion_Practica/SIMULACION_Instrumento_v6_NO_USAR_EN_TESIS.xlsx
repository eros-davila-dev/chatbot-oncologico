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2" autoFilterDateGrouping="1"/>
  </bookViews>
  <sheets>
    <sheet xmlns:r="http://schemas.openxmlformats.org/officeDocument/2006/relationships" name="LEER_PRIMERO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Configuracion" sheetId="3" state="visible" r:id="rId3"/>
    <sheet xmlns:r="http://schemas.openxmlformats.org/officeDocument/2006/relationships" name="Pacientes" sheetId="4" state="visible" r:id="rId4"/>
    <sheet xmlns:r="http://schemas.openxmlformats.org/officeDocument/2006/relationships" name="Consentimientos" sheetId="5" state="visible" r:id="rId5"/>
    <sheet xmlns:r="http://schemas.openxmlformats.org/officeDocument/2006/relationships" name="Verificacion_VI" sheetId="6" state="visible" r:id="rId6"/>
    <sheet xmlns:r="http://schemas.openxmlformats.org/officeDocument/2006/relationships" name="TPR_PRE" sheetId="7" state="visible" r:id="rId7"/>
    <sheet xmlns:r="http://schemas.openxmlformats.org/officeDocument/2006/relationships" name="TPR_POST" sheetId="8" state="visible" r:id="rId8"/>
    <sheet xmlns:r="http://schemas.openxmlformats.org/officeDocument/2006/relationships" name="Ausentismo_PRE" sheetId="9" state="visible" r:id="rId9"/>
    <sheet xmlns:r="http://schemas.openxmlformats.org/officeDocument/2006/relationships" name="Ausentismo_POST" sheetId="10" state="visible" r:id="rId10"/>
    <sheet xmlns:r="http://schemas.openxmlformats.org/officeDocument/2006/relationships" name="Consultas_PRE" sheetId="11" state="visible" r:id="rId11"/>
    <sheet xmlns:r="http://schemas.openxmlformats.org/officeDocument/2006/relationships" name="Consultas_POST" sheetId="12" state="visible" r:id="rId12"/>
    <sheet xmlns:r="http://schemas.openxmlformats.org/officeDocument/2006/relationships" name="Sesiones" sheetId="13" state="visible" r:id="rId13"/>
    <sheet xmlns:r="http://schemas.openxmlformats.org/officeDocument/2006/relationships" name="Bitacora_Sesiones" sheetId="14" state="visible" r:id="rId14"/>
    <sheet xmlns:r="http://schemas.openxmlformats.org/officeDocument/2006/relationships" name="Resumen_PRE_POST" sheetId="15" state="visible" r:id="rId15"/>
    <sheet xmlns:r="http://schemas.openxmlformats.org/officeDocument/2006/relationships" name="SPSS_Pares" sheetId="16" state="visible" r:id="rId16"/>
    <sheet xmlns:r="http://schemas.openxmlformats.org/officeDocument/2006/relationships" name="Control_Calidad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0.0"/>
    <numFmt numFmtId="167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595959"/>
      <sz val="9"/>
    </font>
    <font>
      <name val="Arial"/>
      <charset val="1"/>
      <family val="0"/>
      <i val="1"/>
      <sz val="9"/>
    </font>
    <font>
      <b val="1"/>
      <color rgb="002E75B6"/>
      <sz val="12"/>
    </font>
    <font>
      <b val="1"/>
    </font>
    <font>
      <b val="1"/>
      <color rgb="00FFFFFF"/>
    </font>
    <font>
      <b val="1"/>
      <color rgb="00C00000"/>
      <sz val="16"/>
    </font>
    <font>
      <b val="1"/>
      <color rgb="00C00000"/>
      <sz val="12"/>
    </font>
    <font>
      <color rgb="00C00000"/>
      <sz val="12"/>
    </font>
    <font>
      <color rgb="00000000"/>
      <sz val="12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EDEDED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166" fontId="0" fillId="7" borderId="2" pivotButton="0" quotePrefix="0" xfId="0"/>
    <xf numFmtId="1" fontId="0" fillId="7" borderId="2" pivotButton="0" quotePrefix="0" xfId="0"/>
    <xf numFmtId="167" fontId="0" fillId="7" borderId="2" pivotButton="0" quotePrefix="0" xfId="0"/>
    <xf numFmtId="0" fontId="9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5" fillId="8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0" fillId="10" borderId="2" pivotButton="0" quotePrefix="0" xfId="0"/>
    <xf numFmtId="164" fontId="0" fillId="10" borderId="2" pivotButton="0" quotePrefix="0" xfId="0"/>
    <xf numFmtId="164" fontId="0" fillId="9" borderId="2" pivotButton="0" quotePrefix="0" xfId="0"/>
    <xf numFmtId="0" fontId="0" fillId="0" borderId="2" pivotButton="0" quotePrefix="0" xfId="0"/>
    <xf numFmtId="0" fontId="15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17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00F4C7C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style="27" min="1" max="1"/>
  </cols>
  <sheetData>
    <row r="1" ht="36" customHeight="1" s="27">
      <c r="A1" s="74" t="inlineStr">
        <is>
          <t>DATOS SIMULADOS — SOLO PARA PRÁCTICA</t>
        </is>
      </c>
    </row>
    <row r="2" ht="36" customHeight="1" s="27">
      <c r="A2" s="75" t="inlineStr">
        <is>
          <t>Este archivo fue generado automáticamente con números aleatorios para aprender a usar el instrumento y el análisis en SPSS.</t>
        </is>
      </c>
    </row>
    <row r="3" ht="36" customHeight="1" s="27">
      <c r="A3" s="75" t="inlineStr">
        <is>
          <t>NO contiene datos reales de la fundación. NO debe usarse, copiarse ni citarse en la tesis ni en ningún documento de la investigación.</t>
        </is>
      </c>
    </row>
    <row r="4" ht="36" customHeight="1" s="27">
      <c r="A4" s="76" t="inlineStr">
        <is>
          <t>Presentar datos simulados como reales constituye fabricación de datos (falta grave según el Código de Ética en Investigación de la UCV).</t>
        </is>
      </c>
    </row>
    <row r="5" ht="36" customHeight="1" s="27">
      <c r="A5" s="77" t="inlineStr">
        <is>
          <t>Para la tesis se usa Instrumento_v6_PRE_POST.xlsx, vacío, completado únicamente con registros reales.</t>
        </is>
      </c>
    </row>
    <row r="6" ht="36" customHeight="1" s="27">
      <c r="A6" s="77" t="inlineStr">
        <is>
          <t>Semilla aleatoria: 2026. Códigos de paciente: SIM-01 a SIM-30.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" min="1" max="2"/>
    <col width="8" customWidth="1" style="26" min="3" max="3"/>
    <col width="14" customWidth="1" style="26" min="4" max="4"/>
    <col width="26" customWidth="1" style="26" min="5" max="5"/>
    <col width="22" customWidth="1" style="26" min="6" max="6"/>
    <col width="6" customWidth="1" style="26" min="7" max="7"/>
    <col width="14" customWidth="1" style="26" min="8" max="8"/>
  </cols>
  <sheetData>
    <row r="1" ht="15" customHeight="1" s="27">
      <c r="A1" s="28" t="inlineStr">
        <is>
          <t>FechasPRE</t>
        </is>
      </c>
      <c r="B1" s="28" t="inlineStr">
        <is>
          <t>FechasPOST</t>
        </is>
      </c>
      <c r="C1" s="28" t="inlineStr">
        <is>
          <t>SiNo</t>
        </is>
      </c>
      <c r="D1" s="28" t="inlineStr">
        <is>
          <t>EstadoCita</t>
        </is>
      </c>
      <c r="E1" s="28" t="inlineStr">
        <is>
          <t>Categoria</t>
        </is>
      </c>
      <c r="F1" s="28" t="inlineStr">
        <is>
          <t>CanalPRE</t>
        </is>
      </c>
      <c r="G1" s="28" t="inlineStr">
        <is>
          <t>Sexo</t>
        </is>
      </c>
      <c r="H1" s="28" t="inlineStr">
        <is>
          <t>EstadoPaciente</t>
        </is>
      </c>
      <c r="I1" s="29" t="inlineStr">
        <is>
          <t>ResultadoVI</t>
        </is>
      </c>
    </row>
    <row r="2" ht="15" customHeight="1" s="27">
      <c r="A2" s="30" t="n">
        <v>46237</v>
      </c>
      <c r="B2" s="30" t="n">
        <v>46267</v>
      </c>
      <c r="C2" s="26" t="inlineStr">
        <is>
          <t>Sí</t>
        </is>
      </c>
      <c r="D2" s="26" t="inlineStr">
        <is>
          <t>Asistió</t>
        </is>
      </c>
      <c r="E2" s="26" t="inlineStr">
        <is>
          <t>Citas</t>
        </is>
      </c>
      <c r="F2" s="26" t="inlineStr">
        <is>
          <t>Presencial</t>
        </is>
      </c>
      <c r="G2" s="26" t="inlineStr">
        <is>
          <t>M</t>
        </is>
      </c>
      <c r="H2" s="26" t="inlineStr">
        <is>
          <t>Activo</t>
        </is>
      </c>
      <c r="I2" s="26" t="inlineStr">
        <is>
          <t>Implementado</t>
        </is>
      </c>
    </row>
    <row r="3" ht="15" customHeight="1" s="27">
      <c r="A3" s="30" t="n">
        <v>46239</v>
      </c>
      <c r="B3" s="30" t="n">
        <v>46269</v>
      </c>
      <c r="C3" s="26" t="inlineStr">
        <is>
          <t>No</t>
        </is>
      </c>
      <c r="D3" s="26" t="inlineStr">
        <is>
          <t>No asistió</t>
        </is>
      </c>
      <c r="E3" s="26" t="inlineStr">
        <is>
          <t>Horarios</t>
        </is>
      </c>
      <c r="F3" s="26" t="inlineStr">
        <is>
          <t>Telefónico</t>
        </is>
      </c>
      <c r="G3" s="26" t="inlineStr">
        <is>
          <t>F</t>
        </is>
      </c>
      <c r="H3" s="26" t="inlineStr">
        <is>
          <t>Inactivo</t>
        </is>
      </c>
      <c r="I3" s="26" t="inlineStr">
        <is>
          <t>No implementado</t>
        </is>
      </c>
    </row>
    <row r="4" ht="15" customHeight="1" s="27">
      <c r="A4" s="30" t="n">
        <v>46241</v>
      </c>
      <c r="B4" s="30" t="n">
        <v>46272</v>
      </c>
      <c r="D4" s="26" t="inlineStr">
        <is>
          <t>Cancelada</t>
        </is>
      </c>
      <c r="E4" s="26" t="inlineStr">
        <is>
          <t>Información institucional</t>
        </is>
      </c>
      <c r="F4" s="26" t="inlineStr">
        <is>
          <t>WhatsApp institucional</t>
        </is>
      </c>
    </row>
    <row r="5" ht="15" customHeight="1" s="27">
      <c r="A5" s="30" t="n">
        <v>46244</v>
      </c>
      <c r="B5" s="30" t="n">
        <v>46274</v>
      </c>
      <c r="D5" s="26" t="inlineStr">
        <is>
          <t>Reprogramada</t>
        </is>
      </c>
      <c r="E5" s="26" t="inlineStr">
        <is>
          <t>Requisitos</t>
        </is>
      </c>
    </row>
    <row r="6" ht="15" customHeight="1" s="27">
      <c r="A6" s="30" t="n">
        <v>46246</v>
      </c>
      <c r="B6" s="30" t="n">
        <v>46276</v>
      </c>
      <c r="E6" s="26" t="inlineStr">
        <is>
          <t>Ubicación</t>
        </is>
      </c>
    </row>
    <row r="7" ht="15" customHeight="1" s="27">
      <c r="A7" s="30" t="n">
        <v>46248</v>
      </c>
      <c r="B7" s="30" t="n">
        <v>46279</v>
      </c>
      <c r="E7" s="26" t="inlineStr">
        <is>
          <t>Seguimiento administrativo</t>
        </is>
      </c>
    </row>
    <row r="8" ht="15" customHeight="1" s="27">
      <c r="A8" s="30" t="n">
        <v>46251</v>
      </c>
      <c r="B8" s="30" t="n">
        <v>46281</v>
      </c>
      <c r="E8" s="26" t="inlineStr">
        <is>
          <t>Otro</t>
        </is>
      </c>
    </row>
    <row r="9" ht="15" customHeight="1" s="27">
      <c r="A9" s="30" t="n">
        <v>46253</v>
      </c>
      <c r="B9" s="30" t="n">
        <v>46283</v>
      </c>
    </row>
    <row r="10" ht="15" customHeight="1" s="27">
      <c r="A10" s="30" t="n">
        <v>46255</v>
      </c>
      <c r="B10" s="30" t="n">
        <v>46286</v>
      </c>
    </row>
    <row r="11" ht="15" customHeight="1" s="27">
      <c r="A11" s="30" t="n">
        <v>46258</v>
      </c>
      <c r="B11" s="30" t="n">
        <v>46288</v>
      </c>
    </row>
    <row r="12" ht="15" customHeight="1" s="27">
      <c r="A12" s="30" t="n">
        <v>46260</v>
      </c>
      <c r="B12" s="30" t="n">
        <v>46290</v>
      </c>
    </row>
    <row r="13" ht="15" customHeight="1" s="27">
      <c r="A13" s="30" t="n">
        <v>46262</v>
      </c>
      <c r="B13" s="30" t="n">
        <v>46293</v>
      </c>
    </row>
    <row r="14" ht="15" customHeight="1" s="27">
      <c r="A14" s="30" t="n">
        <v>46265</v>
      </c>
      <c r="B14" s="30" t="n">
        <v>46295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5.5" customHeight="1" s="27">
      <c r="A1" s="78" t="inlineStr">
        <is>
          <t>CONFIGURACIÓN DEL ESTUDIO — ARCHIVO CON DATOS SIMULADOS (NO USAR EN LA TESIS)</t>
        </is>
      </c>
    </row>
    <row r="2" ht="33.75" customHeight="1" s="27">
      <c r="A2" s="28" t="inlineStr">
        <is>
          <t>Código de estudio:</t>
        </is>
      </c>
      <c r="B2" s="32" t="inlineStr">
        <is>
          <t>SWC-FO-2026 (Sistema Web con Chatbot - Fundación Oncológica - 2026)</t>
        </is>
      </c>
    </row>
    <row r="3" ht="33.75" customHeight="1" s="27">
      <c r="A3" s="28" t="inlineStr">
        <is>
          <t>Título:</t>
        </is>
      </c>
      <c r="B3" s="32" t="inlineStr">
        <is>
          <t>Sistema web con chatbot para la gestión de pacientes en una fundación oncológica privada de Lima, 2026</t>
        </is>
      </c>
    </row>
    <row r="4" ht="33.75" customHeight="1" s="27">
      <c r="A4" s="28" t="inlineStr">
        <is>
          <t>Diseño:</t>
        </is>
      </c>
      <c r="B4" s="32" t="inlineStr">
        <is>
          <t>Pre-experimental de un solo grupo, con pretest y postest, comparados mediante 13 sesiones equivalentes</t>
        </is>
      </c>
    </row>
    <row r="5" ht="33.75" customHeight="1" s="27">
      <c r="A5" s="28" t="inlineStr">
        <is>
          <t>Fechas PRETEST (lun/mié/vie):</t>
        </is>
      </c>
      <c r="B5" s="32" t="inlineStr">
        <is>
          <t>03/08/2026, 05/08/2026, 07/08/2026, 10/08/2026, 12/08/2026, 14/08/2026, 17/08/2026, 19/08/2026, 21/08/2026, 24/08/2026, 26/08/2026, 28/08/2026, 31/08/2026</t>
        </is>
      </c>
    </row>
    <row r="6" ht="33.75" customHeight="1" s="27">
      <c r="A6" s="28" t="inlineStr">
        <is>
          <t>Fechas POSTEST (lun/mié/vie):</t>
        </is>
      </c>
      <c r="B6" s="32" t="inlineStr">
        <is>
          <t>02/09/2026, 04/09/2026, 07/09/2026, 09/09/2026, 11/09/2026, 14/09/2026, 16/09/2026, 18/09/2026, 21/09/2026, 23/09/2026, 25/09/2026, 28/09/2026, 30/09/2026</t>
        </is>
      </c>
    </row>
    <row r="7" ht="33.75" customHeight="1" s="27">
      <c r="A7" s="28" t="inlineStr">
        <is>
          <t>Unidad de análisis - TPR:</t>
        </is>
      </c>
      <c r="B7" s="32" t="inlineStr">
        <is>
          <t>Cada proceso de registro de paciente efectivamente ejecutado</t>
        </is>
      </c>
    </row>
    <row r="8" ht="33.75" customHeight="1" s="27">
      <c r="A8" s="28" t="inlineStr">
        <is>
          <t>Unidad de análisis - Ausentismo:</t>
        </is>
      </c>
      <c r="B8" s="32" t="inlineStr">
        <is>
          <t>Cada cita médica programada elegible (se excluyen citas canceladas o reprogramadas con anticipación)</t>
        </is>
      </c>
    </row>
    <row r="9" ht="33.75" customHeight="1" s="27">
      <c r="A9" s="28" t="inlineStr">
        <is>
          <t>Unidad de análisis - Consultas:</t>
        </is>
      </c>
      <c r="B9" s="32" t="inlineStr">
        <is>
          <t>Cada consulta administrativa recibida (canales habituales en el pretest; chatbot en el postest)</t>
        </is>
      </c>
    </row>
    <row r="10" ht="33.75" customHeight="1" s="27">
      <c r="A10" s="28" t="inlineStr">
        <is>
          <t>Fórmula TPR:</t>
        </is>
      </c>
      <c r="B10" s="32" t="inlineStr">
        <is>
          <t>TPR = (Σ tiempo de cada registro) / (N.° de registros), en minutos</t>
        </is>
      </c>
    </row>
    <row r="11" ht="33.75" customHeight="1" s="27">
      <c r="A11" s="28" t="inlineStr">
        <is>
          <t>Fórmula Tasa de Ausentismo:</t>
        </is>
      </c>
      <c r="B11" s="32" t="inlineStr">
        <is>
          <t>TA = (N.° de citas no asistidas sin previo aviso / N.° de citas programadas elegibles) x 100</t>
        </is>
      </c>
    </row>
    <row r="12" ht="33.75" customHeight="1" s="27">
      <c r="A12" s="28" t="inlineStr">
        <is>
          <t>Fórmula Nivel de Consultas Atendidas:</t>
        </is>
      </c>
      <c r="B12" s="32" t="inlineStr">
        <is>
          <t>NCA = (N.° de consultas resueltas en el primer contacto y no derivadas / N.° de consultas recibidas) x 100</t>
        </is>
      </c>
    </row>
    <row r="13" ht="33.75" customHeight="1" s="27">
      <c r="A13" s="28" t="inlineStr">
        <is>
          <t>Criterios de inclusión:</t>
        </is>
      </c>
      <c r="B13" s="32" t="inlineStr">
        <is>
          <t>Pacientes activos de la fundación oncológica durante el período de estudio, mayores de edad, con al menos una cita programada en la institución en dicho período y que acepten participar mediante consentimiento informado.</t>
        </is>
      </c>
    </row>
    <row r="14" ht="33.75" customHeight="1" s="27">
      <c r="A14" s="28" t="inlineStr">
        <is>
          <t>Criterios de exclusión:</t>
        </is>
      </c>
      <c r="B14" s="32" t="inlineStr">
        <is>
          <t>Pacientes con registros incompletos o ilegibles, que suspendan tratamiento durante el estudio, que fallezcan durante la investigación, o que no otorguen o retiren su consentimiento.</t>
        </is>
      </c>
    </row>
    <row r="15" ht="33.75" customHeight="1" s="27">
      <c r="A15" s="28" t="inlineStr">
        <is>
          <t>Regla de calidad de datos:</t>
        </is>
      </c>
      <c r="B15" s="32" t="inlineStr">
        <is>
          <t>Registrar únicamente los eventos que realmente ocurrieron cada sesión. No completar filas artificiales para alcanzar un número fijo de registros, citas o consultas.</t>
        </is>
      </c>
    </row>
    <row r="17" ht="15" customHeight="1" s="27">
      <c r="A17" s="33" t="inlineStr">
        <is>
          <t>CÓMO USAR ESTE ARCHIVO</t>
        </is>
      </c>
    </row>
    <row r="18" ht="27.75" customHeight="1" s="27">
      <c r="A18" s="34" t="inlineStr">
        <is>
          <t>1. Use la hoja Pacientes para registrar a los 30 participantes (código, edad, sexo). Si aparece un paciente nuevo durante el postest que no estaba en la lista original, agréguelo al final.</t>
        </is>
      </c>
    </row>
    <row r="19" ht="27.75" customHeight="1" s="27">
      <c r="A19" s="34" t="inlineStr">
        <is>
          <t>2. En cada hoja PRE/POST (TPR, Ausentismo, Consultas), agregue una fila por cada evento real (registro, cita o consulta) que haya ocurrido, seleccionando la fecha de la lista desplegable. No es necesario llenar un número fijo de filas por sesión.</t>
        </is>
      </c>
    </row>
    <row r="20" ht="27.75" customHeight="1" s="27">
      <c r="A20" s="34" t="inlineStr">
        <is>
          <t>3. Las celdas en amarillo son las que debe completar con datos reales. Las columnas de fecha y las categóricas tienen lista desplegable para evitar errores de escritura.</t>
        </is>
      </c>
    </row>
    <row r="21" ht="27.75" customHeight="1" s="27">
      <c r="A21" s="34" t="inlineStr">
        <is>
          <t>4. La hoja Sesiones calcula automáticamente el valor de cada indicador por sesión (13 PRE y 13 POST) a partir de lo que usted haya registrado. No edite esa hoja manualmente.</t>
        </is>
      </c>
    </row>
    <row r="22" ht="27.75" customHeight="1" s="27">
      <c r="A22" s="34" t="inlineStr">
        <is>
          <t>5. La hoja Resumen_PRE_POST muestra el promedio general de cada indicador; se actualiza sola.</t>
        </is>
      </c>
    </row>
    <row r="24">
      <c r="A24" s="35" t="inlineStr">
        <is>
          <t>REGLAS DE REGISTRO (versión 3)</t>
        </is>
      </c>
    </row>
    <row r="25">
      <c r="A25" s="36" t="inlineStr">
        <is>
          <t>Consulta resuelta:</t>
        </is>
      </c>
      <c r="B25" s="37" t="inlineStr">
        <is>
          <t>Se marca "Sí" en la columna F solo si el paciente obtuvo la información solicitada en el primer contacto y no necesitó volver a comunicarse por el mismo motivo. Se aplica igual en el pretest y en el postest.</t>
        </is>
      </c>
    </row>
    <row r="26">
      <c r="A26" s="36" t="inlineStr">
        <is>
          <t>Consulta derivada:</t>
        </is>
      </c>
      <c r="B26" s="37" t="inlineStr">
        <is>
          <t>Se marca "Sí" en la columna G si la consulta tuvo que pasarse a otra persona o área para completarse. Una consulta derivada no cuenta como resuelta para el NCA.</t>
        </is>
      </c>
    </row>
    <row r="27">
      <c r="A27" s="36" t="inlineStr">
        <is>
          <t>Aviso previo (ausentismo):</t>
        </is>
      </c>
      <c r="B27" s="37" t="inlineStr">
        <is>
          <t>Si el paciente avisó antes de la fecha, la cita se registra como "Cancelada" o "Reprogramada" y no entra al cálculo. "No asistió" se usa solo para inasistencias sin aviso.</t>
        </is>
      </c>
    </row>
    <row r="28">
      <c r="A28" s="36" t="inlineStr">
        <is>
          <t>Sesiones sin eventos:</t>
        </is>
      </c>
      <c r="B28" s="37" t="inlineStr">
        <is>
          <t>Si una sesión no tiene eventos de un indicador, su valor queda vacío y el par se marca como no válido en la hoja Sesiones; se excluye del contraste y se informa el número de pares válidos.</t>
        </is>
      </c>
    </row>
    <row r="29">
      <c r="A29" s="36" t="inlineStr">
        <is>
          <t>Emparejamiento de sesiones:</t>
        </is>
      </c>
      <c r="B29" s="37" t="inlineStr">
        <is>
          <t>Por día de la semana y orden de aparición (1.er lunes PRE con 1.er lunes POST, etc.). Pares 1 a 12 con el mismo día; el par 13 une las últimas sesiones (lun 31/08 – mié 30/09) y se excluye en el análisis de sensibilidad. Ver columna S de la hoja Sesiones.</t>
        </is>
      </c>
    </row>
    <row r="30">
      <c r="A30" s="36" t="inlineStr">
        <is>
          <t>Variable independiente:</t>
        </is>
      </c>
      <c r="B30" s="37" t="inlineStr">
        <is>
          <t>Registrar en la hoja Verificacion_VI la verificación de cada módulo del sistema antes de iniciar el postest.</t>
        </is>
      </c>
    </row>
    <row r="31">
      <c r="A31" s="36" t="inlineStr">
        <is>
          <t>Control de calidad:</t>
        </is>
      </c>
      <c r="B31" s="65" t="inlineStr">
        <is>
          <t>Columna "Control de calidad" en cada hoja de registro y resumen en la hoja Control_Calidad. Consentimientos y bitácora en sus hojas respectivas.</t>
        </is>
      </c>
    </row>
    <row r="32">
      <c r="A32" s="36" t="inlineStr">
        <is>
          <t>Exportación a SPSS:</t>
        </is>
      </c>
      <c r="B32" s="26" t="inlineStr">
        <is>
          <t>La hoja SPSS_Pares arma automáticamente los 13 pares para el archivo Analisis_SPSS.sps.</t>
        </is>
      </c>
    </row>
  </sheetData>
  <mergeCells count="7">
    <mergeCell ref="A20:B20"/>
    <mergeCell ref="A21:B21"/>
    <mergeCell ref="A19:B19"/>
    <mergeCell ref="A1:B1"/>
    <mergeCell ref="A17:B17"/>
    <mergeCell ref="A18:B18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8" customWidth="1" style="26" min="2" max="3"/>
    <col width="12" customWidth="1" style="26" min="4" max="4"/>
    <col width="20" customWidth="1" style="26" min="5" max="5"/>
  </cols>
  <sheetData>
    <row r="1" ht="27.75" customHeight="1" s="27">
      <c r="A1" s="38" t="inlineStr">
        <is>
          <t>Código</t>
        </is>
      </c>
      <c r="B1" s="38" t="inlineStr">
        <is>
          <t>Edad</t>
        </is>
      </c>
      <c r="C1" s="38" t="inlineStr">
        <is>
          <t>Sexo</t>
        </is>
      </c>
      <c r="D1" s="38" t="inlineStr">
        <is>
          <t>Estado</t>
        </is>
      </c>
      <c r="E1" s="38" t="inlineStr">
        <is>
          <t>Participó en la muestra original (30)</t>
        </is>
      </c>
    </row>
    <row r="2" ht="15" customHeight="1" s="27">
      <c r="A2" s="39" t="inlineStr">
        <is>
          <t>SIM-01</t>
        </is>
      </c>
      <c r="B2" s="40" t="n">
        <v>73</v>
      </c>
      <c r="C2" s="40" t="inlineStr">
        <is>
          <t>M</t>
        </is>
      </c>
      <c r="D2" s="40" t="inlineStr">
        <is>
          <t>Activo</t>
        </is>
      </c>
      <c r="E2" s="39" t="inlineStr">
        <is>
          <t>Sí</t>
        </is>
      </c>
    </row>
    <row r="3" ht="15" customHeight="1" s="27">
      <c r="A3" s="39" t="inlineStr">
        <is>
          <t>SIM-02</t>
        </is>
      </c>
      <c r="B3" s="40" t="n">
        <v>31</v>
      </c>
      <c r="C3" s="40" t="inlineStr">
        <is>
          <t>F</t>
        </is>
      </c>
      <c r="D3" s="40" t="inlineStr">
        <is>
          <t>Activo</t>
        </is>
      </c>
      <c r="E3" s="39" t="inlineStr">
        <is>
          <t>Sí</t>
        </is>
      </c>
    </row>
    <row r="4" ht="15" customHeight="1" s="27">
      <c r="A4" s="39" t="inlineStr">
        <is>
          <t>SIM-03</t>
        </is>
      </c>
      <c r="B4" s="40" t="n">
        <v>48</v>
      </c>
      <c r="C4" s="40" t="inlineStr">
        <is>
          <t>M</t>
        </is>
      </c>
      <c r="D4" s="40" t="inlineStr">
        <is>
          <t>Activo</t>
        </is>
      </c>
      <c r="E4" s="39" t="inlineStr">
        <is>
          <t>Sí</t>
        </is>
      </c>
    </row>
    <row r="5" ht="15" customHeight="1" s="27">
      <c r="A5" s="39" t="inlineStr">
        <is>
          <t>SIM-04</t>
        </is>
      </c>
      <c r="B5" s="40" t="n">
        <v>34</v>
      </c>
      <c r="C5" s="40" t="inlineStr">
        <is>
          <t>M</t>
        </is>
      </c>
      <c r="D5" s="40" t="inlineStr">
        <is>
          <t>Activo</t>
        </is>
      </c>
      <c r="E5" s="39" t="inlineStr">
        <is>
          <t>Sí</t>
        </is>
      </c>
    </row>
    <row r="6" ht="15" customHeight="1" s="27">
      <c r="A6" s="39" t="inlineStr">
        <is>
          <t>SIM-05</t>
        </is>
      </c>
      <c r="B6" s="40" t="n">
        <v>62</v>
      </c>
      <c r="C6" s="40" t="inlineStr">
        <is>
          <t>M</t>
        </is>
      </c>
      <c r="D6" s="40" t="inlineStr">
        <is>
          <t>Activo</t>
        </is>
      </c>
      <c r="E6" s="39" t="inlineStr">
        <is>
          <t>Sí</t>
        </is>
      </c>
    </row>
    <row r="7" ht="15" customHeight="1" s="27">
      <c r="A7" s="39" t="inlineStr">
        <is>
          <t>SIM-06</t>
        </is>
      </c>
      <c r="B7" s="40" t="n">
        <v>72</v>
      </c>
      <c r="C7" s="40" t="inlineStr">
        <is>
          <t>F</t>
        </is>
      </c>
      <c r="D7" s="40" t="inlineStr">
        <is>
          <t>Activo</t>
        </is>
      </c>
      <c r="E7" s="39" t="inlineStr">
        <is>
          <t>Sí</t>
        </is>
      </c>
    </row>
    <row r="8" ht="15" customHeight="1" s="27">
      <c r="A8" s="39" t="inlineStr">
        <is>
          <t>SIM-07</t>
        </is>
      </c>
      <c r="B8" s="40" t="n">
        <v>65</v>
      </c>
      <c r="C8" s="40" t="inlineStr">
        <is>
          <t>F</t>
        </is>
      </c>
      <c r="D8" s="40" t="inlineStr">
        <is>
          <t>Activo</t>
        </is>
      </c>
      <c r="E8" s="39" t="inlineStr">
        <is>
          <t>Sí</t>
        </is>
      </c>
    </row>
    <row r="9" ht="15" customHeight="1" s="27">
      <c r="A9" s="39" t="inlineStr">
        <is>
          <t>SIM-08</t>
        </is>
      </c>
      <c r="B9" s="40" t="n">
        <v>66</v>
      </c>
      <c r="C9" s="40" t="inlineStr">
        <is>
          <t>M</t>
        </is>
      </c>
      <c r="D9" s="40" t="inlineStr">
        <is>
          <t>Activo</t>
        </is>
      </c>
      <c r="E9" s="39" t="inlineStr">
        <is>
          <t>Sí</t>
        </is>
      </c>
    </row>
    <row r="10" ht="15" customHeight="1" s="27">
      <c r="A10" s="39" t="inlineStr">
        <is>
          <t>SIM-09</t>
        </is>
      </c>
      <c r="B10" s="40" t="n">
        <v>73</v>
      </c>
      <c r="C10" s="40" t="inlineStr">
        <is>
          <t>F</t>
        </is>
      </c>
      <c r="D10" s="40" t="inlineStr">
        <is>
          <t>Activo</t>
        </is>
      </c>
      <c r="E10" s="39" t="inlineStr">
        <is>
          <t>Sí</t>
        </is>
      </c>
    </row>
    <row r="11" ht="15" customHeight="1" s="27">
      <c r="A11" s="39" t="inlineStr">
        <is>
          <t>SIM-10</t>
        </is>
      </c>
      <c r="B11" s="40" t="n">
        <v>35</v>
      </c>
      <c r="C11" s="40" t="inlineStr">
        <is>
          <t>M</t>
        </is>
      </c>
      <c r="D11" s="40" t="inlineStr">
        <is>
          <t>Activo</t>
        </is>
      </c>
      <c r="E11" s="39" t="inlineStr">
        <is>
          <t>Sí</t>
        </is>
      </c>
    </row>
    <row r="12" ht="15" customHeight="1" s="27">
      <c r="A12" s="39" t="inlineStr">
        <is>
          <t>SIM-11</t>
        </is>
      </c>
      <c r="B12" s="40" t="n">
        <v>38</v>
      </c>
      <c r="C12" s="40" t="inlineStr">
        <is>
          <t>F</t>
        </is>
      </c>
      <c r="D12" s="40" t="inlineStr">
        <is>
          <t>Activo</t>
        </is>
      </c>
      <c r="E12" s="39" t="inlineStr">
        <is>
          <t>Sí</t>
        </is>
      </c>
    </row>
    <row r="13" ht="15" customHeight="1" s="27">
      <c r="A13" s="39" t="inlineStr">
        <is>
          <t>SIM-12</t>
        </is>
      </c>
      <c r="B13" s="40" t="n">
        <v>67</v>
      </c>
      <c r="C13" s="40" t="inlineStr">
        <is>
          <t>F</t>
        </is>
      </c>
      <c r="D13" s="40" t="inlineStr">
        <is>
          <t>Activo</t>
        </is>
      </c>
      <c r="E13" s="39" t="inlineStr">
        <is>
          <t>Sí</t>
        </is>
      </c>
    </row>
    <row r="14" ht="15" customHeight="1" s="27">
      <c r="A14" s="39" t="inlineStr">
        <is>
          <t>SIM-13</t>
        </is>
      </c>
      <c r="B14" s="40" t="n">
        <v>44</v>
      </c>
      <c r="C14" s="40" t="inlineStr">
        <is>
          <t>F</t>
        </is>
      </c>
      <c r="D14" s="40" t="inlineStr">
        <is>
          <t>Activo</t>
        </is>
      </c>
      <c r="E14" s="39" t="inlineStr">
        <is>
          <t>Sí</t>
        </is>
      </c>
    </row>
    <row r="15" ht="15" customHeight="1" s="27">
      <c r="A15" s="39" t="inlineStr">
        <is>
          <t>SIM-14</t>
        </is>
      </c>
      <c r="B15" s="40" t="n">
        <v>60</v>
      </c>
      <c r="C15" s="40" t="inlineStr">
        <is>
          <t>F</t>
        </is>
      </c>
      <c r="D15" s="40" t="inlineStr">
        <is>
          <t>Activo</t>
        </is>
      </c>
      <c r="E15" s="39" t="inlineStr">
        <is>
          <t>Sí</t>
        </is>
      </c>
    </row>
    <row r="16" ht="15" customHeight="1" s="27">
      <c r="A16" s="39" t="inlineStr">
        <is>
          <t>SIM-15</t>
        </is>
      </c>
      <c r="B16" s="40" t="n">
        <v>36</v>
      </c>
      <c r="C16" s="40" t="inlineStr">
        <is>
          <t>F</t>
        </is>
      </c>
      <c r="D16" s="40" t="inlineStr">
        <is>
          <t>Activo</t>
        </is>
      </c>
      <c r="E16" s="39" t="inlineStr">
        <is>
          <t>Sí</t>
        </is>
      </c>
    </row>
    <row r="17" ht="15" customHeight="1" s="27">
      <c r="A17" s="39" t="inlineStr">
        <is>
          <t>SIM-16</t>
        </is>
      </c>
      <c r="B17" s="40" t="n">
        <v>62</v>
      </c>
      <c r="C17" s="40" t="inlineStr">
        <is>
          <t>F</t>
        </is>
      </c>
      <c r="D17" s="40" t="inlineStr">
        <is>
          <t>Activo</t>
        </is>
      </c>
      <c r="E17" s="39" t="inlineStr">
        <is>
          <t>Sí</t>
        </is>
      </c>
    </row>
    <row r="18" ht="15" customHeight="1" s="27">
      <c r="A18" s="39" t="inlineStr">
        <is>
          <t>SIM-17</t>
        </is>
      </c>
      <c r="B18" s="40" t="n">
        <v>63</v>
      </c>
      <c r="C18" s="40" t="inlineStr">
        <is>
          <t>M</t>
        </is>
      </c>
      <c r="D18" s="40" t="inlineStr">
        <is>
          <t>Activo</t>
        </is>
      </c>
      <c r="E18" s="39" t="inlineStr">
        <is>
          <t>Sí</t>
        </is>
      </c>
    </row>
    <row r="19" ht="15" customHeight="1" s="27">
      <c r="A19" s="39" t="inlineStr">
        <is>
          <t>SIM-18</t>
        </is>
      </c>
      <c r="B19" s="40" t="n">
        <v>53</v>
      </c>
      <c r="C19" s="40" t="inlineStr">
        <is>
          <t>M</t>
        </is>
      </c>
      <c r="D19" s="40" t="inlineStr">
        <is>
          <t>Activo</t>
        </is>
      </c>
      <c r="E19" s="39" t="inlineStr">
        <is>
          <t>Sí</t>
        </is>
      </c>
    </row>
    <row r="20" ht="15" customHeight="1" s="27">
      <c r="A20" s="39" t="inlineStr">
        <is>
          <t>SIM-19</t>
        </is>
      </c>
      <c r="B20" s="40" t="n">
        <v>38</v>
      </c>
      <c r="C20" s="40" t="inlineStr">
        <is>
          <t>M</t>
        </is>
      </c>
      <c r="D20" s="40" t="inlineStr">
        <is>
          <t>Activo</t>
        </is>
      </c>
      <c r="E20" s="39" t="inlineStr">
        <is>
          <t>Sí</t>
        </is>
      </c>
    </row>
    <row r="21" ht="15" customHeight="1" s="27">
      <c r="A21" s="39" t="inlineStr">
        <is>
          <t>SIM-20</t>
        </is>
      </c>
      <c r="B21" s="40" t="n">
        <v>37</v>
      </c>
      <c r="C21" s="40" t="inlineStr">
        <is>
          <t>M</t>
        </is>
      </c>
      <c r="D21" s="40" t="inlineStr">
        <is>
          <t>Activo</t>
        </is>
      </c>
      <c r="E21" s="39" t="inlineStr">
        <is>
          <t>Sí</t>
        </is>
      </c>
    </row>
    <row r="22" ht="15" customHeight="1" s="27">
      <c r="A22" s="39" t="inlineStr">
        <is>
          <t>SIM-21</t>
        </is>
      </c>
      <c r="B22" s="40" t="n">
        <v>73</v>
      </c>
      <c r="C22" s="40" t="inlineStr">
        <is>
          <t>F</t>
        </is>
      </c>
      <c r="D22" s="40" t="inlineStr">
        <is>
          <t>Activo</t>
        </is>
      </c>
      <c r="E22" s="39" t="inlineStr">
        <is>
          <t>Sí</t>
        </is>
      </c>
    </row>
    <row r="23" ht="15" customHeight="1" s="27">
      <c r="A23" s="39" t="inlineStr">
        <is>
          <t>SIM-22</t>
        </is>
      </c>
      <c r="B23" s="40" t="n">
        <v>34</v>
      </c>
      <c r="C23" s="40" t="inlineStr">
        <is>
          <t>M</t>
        </is>
      </c>
      <c r="D23" s="40" t="inlineStr">
        <is>
          <t>Activo</t>
        </is>
      </c>
      <c r="E23" s="39" t="inlineStr">
        <is>
          <t>Sí</t>
        </is>
      </c>
    </row>
    <row r="24" ht="15" customHeight="1" s="27">
      <c r="A24" s="39" t="inlineStr">
        <is>
          <t>SIM-23</t>
        </is>
      </c>
      <c r="B24" s="40" t="n">
        <v>43</v>
      </c>
      <c r="C24" s="40" t="inlineStr">
        <is>
          <t>F</t>
        </is>
      </c>
      <c r="D24" s="40" t="inlineStr">
        <is>
          <t>Activo</t>
        </is>
      </c>
      <c r="E24" s="39" t="inlineStr">
        <is>
          <t>Sí</t>
        </is>
      </c>
    </row>
    <row r="25" ht="15" customHeight="1" s="27">
      <c r="A25" s="39" t="inlineStr">
        <is>
          <t>SIM-24</t>
        </is>
      </c>
      <c r="B25" s="40" t="n">
        <v>72</v>
      </c>
      <c r="C25" s="40" t="inlineStr">
        <is>
          <t>M</t>
        </is>
      </c>
      <c r="D25" s="40" t="inlineStr">
        <is>
          <t>Activo</t>
        </is>
      </c>
      <c r="E25" s="39" t="inlineStr">
        <is>
          <t>Sí</t>
        </is>
      </c>
    </row>
    <row r="26" ht="15" customHeight="1" s="27">
      <c r="A26" s="39" t="inlineStr">
        <is>
          <t>SIM-25</t>
        </is>
      </c>
      <c r="B26" s="40" t="n">
        <v>53</v>
      </c>
      <c r="C26" s="40" t="inlineStr">
        <is>
          <t>M</t>
        </is>
      </c>
      <c r="D26" s="40" t="inlineStr">
        <is>
          <t>Activo</t>
        </is>
      </c>
      <c r="E26" s="39" t="inlineStr">
        <is>
          <t>Sí</t>
        </is>
      </c>
    </row>
    <row r="27" ht="15" customHeight="1" s="27">
      <c r="A27" s="39" t="inlineStr">
        <is>
          <t>SIM-26</t>
        </is>
      </c>
      <c r="B27" s="40" t="n">
        <v>80</v>
      </c>
      <c r="C27" s="40" t="inlineStr">
        <is>
          <t>M</t>
        </is>
      </c>
      <c r="D27" s="40" t="inlineStr">
        <is>
          <t>Activo</t>
        </is>
      </c>
      <c r="E27" s="39" t="inlineStr">
        <is>
          <t>Sí</t>
        </is>
      </c>
    </row>
    <row r="28" ht="15" customHeight="1" s="27">
      <c r="A28" s="39" t="inlineStr">
        <is>
          <t>SIM-27</t>
        </is>
      </c>
      <c r="B28" s="40" t="n">
        <v>38</v>
      </c>
      <c r="C28" s="40" t="inlineStr">
        <is>
          <t>M</t>
        </is>
      </c>
      <c r="D28" s="40" t="inlineStr">
        <is>
          <t>Activo</t>
        </is>
      </c>
      <c r="E28" s="39" t="inlineStr">
        <is>
          <t>Sí</t>
        </is>
      </c>
    </row>
    <row r="29" ht="15" customHeight="1" s="27">
      <c r="A29" s="39" t="inlineStr">
        <is>
          <t>SIM-28</t>
        </is>
      </c>
      <c r="B29" s="40" t="n">
        <v>54</v>
      </c>
      <c r="C29" s="40" t="inlineStr">
        <is>
          <t>F</t>
        </is>
      </c>
      <c r="D29" s="40" t="inlineStr">
        <is>
          <t>Activo</t>
        </is>
      </c>
      <c r="E29" s="39" t="inlineStr">
        <is>
          <t>Sí</t>
        </is>
      </c>
    </row>
    <row r="30" ht="15" customHeight="1" s="27">
      <c r="A30" s="39" t="inlineStr">
        <is>
          <t>SIM-29</t>
        </is>
      </c>
      <c r="B30" s="40" t="n">
        <v>46</v>
      </c>
      <c r="C30" s="40" t="inlineStr">
        <is>
          <t>M</t>
        </is>
      </c>
      <c r="D30" s="40" t="inlineStr">
        <is>
          <t>Activo</t>
        </is>
      </c>
      <c r="E30" s="39" t="inlineStr">
        <is>
          <t>Sí</t>
        </is>
      </c>
    </row>
    <row r="31" ht="15" customHeight="1" s="27">
      <c r="A31" s="39" t="inlineStr">
        <is>
          <t>SIM-30</t>
        </is>
      </c>
      <c r="B31" s="40" t="n">
        <v>63</v>
      </c>
      <c r="C31" s="40" t="inlineStr">
        <is>
          <t>M</t>
        </is>
      </c>
      <c r="D31" s="40" t="inlineStr">
        <is>
          <t>Activo</t>
        </is>
      </c>
      <c r="E31" s="39" t="inlineStr">
        <is>
          <t>Sí</t>
        </is>
      </c>
    </row>
    <row r="32" ht="15" customHeight="1" s="27">
      <c r="A32" s="40" t="n"/>
      <c r="B32" s="40" t="n"/>
      <c r="C32" s="40" t="n"/>
      <c r="D32" s="40" t="n"/>
      <c r="E32" s="41" t="inlineStr">
        <is>
          <t>No (nuevo)</t>
        </is>
      </c>
    </row>
    <row r="33" ht="15" customHeight="1" s="27">
      <c r="A33" s="40" t="n"/>
      <c r="B33" s="40" t="n"/>
      <c r="C33" s="40" t="n"/>
      <c r="D33" s="40" t="n"/>
      <c r="E33" s="41" t="inlineStr">
        <is>
          <t>No (nuevo)</t>
        </is>
      </c>
    </row>
    <row r="34" ht="15" customHeight="1" s="27">
      <c r="A34" s="40" t="n"/>
      <c r="B34" s="40" t="n"/>
      <c r="C34" s="40" t="n"/>
      <c r="D34" s="40" t="n"/>
      <c r="E34" s="41" t="inlineStr">
        <is>
          <t>No (nuevo)</t>
        </is>
      </c>
    </row>
    <row r="35" ht="15" customHeight="1" s="27">
      <c r="A35" s="40" t="n"/>
      <c r="B35" s="40" t="n"/>
      <c r="C35" s="40" t="n"/>
      <c r="D35" s="40" t="n"/>
      <c r="E35" s="41" t="inlineStr">
        <is>
          <t>No (nuevo)</t>
        </is>
      </c>
    </row>
    <row r="36" ht="15" customHeight="1" s="27">
      <c r="A36" s="40" t="n"/>
      <c r="B36" s="40" t="n"/>
      <c r="C36" s="40" t="n"/>
      <c r="D36" s="40" t="n"/>
      <c r="E36" s="41" t="inlineStr">
        <is>
          <t>No (nuevo)</t>
        </is>
      </c>
    </row>
    <row r="37" ht="15" customHeight="1" s="27">
      <c r="A37" s="40" t="n"/>
      <c r="B37" s="40" t="n"/>
      <c r="C37" s="40" t="n"/>
      <c r="D37" s="40" t="n"/>
      <c r="E37" s="41" t="inlineStr">
        <is>
          <t>No (nuevo)</t>
        </is>
      </c>
    </row>
    <row r="38" ht="15" customHeight="1" s="27">
      <c r="A38" s="40" t="n"/>
      <c r="B38" s="40" t="n"/>
      <c r="C38" s="40" t="n"/>
      <c r="D38" s="40" t="n"/>
      <c r="E38" s="41" t="inlineStr">
        <is>
          <t>No (nuevo)</t>
        </is>
      </c>
    </row>
    <row r="39" ht="15" customHeight="1" s="27">
      <c r="A39" s="40" t="n"/>
      <c r="B39" s="40" t="n"/>
      <c r="C39" s="40" t="n"/>
      <c r="D39" s="40" t="n"/>
      <c r="E39" s="41" t="inlineStr">
        <is>
          <t>No (nuevo)</t>
        </is>
      </c>
    </row>
    <row r="40" ht="15" customHeight="1" s="27">
      <c r="A40" s="40" t="n"/>
      <c r="B40" s="40" t="n"/>
      <c r="C40" s="40" t="n"/>
      <c r="D40" s="40" t="n"/>
      <c r="E40" s="41" t="inlineStr">
        <is>
          <t>No (nuevo)</t>
        </is>
      </c>
    </row>
    <row r="41" ht="15" customHeight="1" s="27">
      <c r="A41" s="40" t="n"/>
      <c r="B41" s="40" t="n"/>
      <c r="C41" s="40" t="n"/>
      <c r="D41" s="40" t="n"/>
      <c r="E41" s="41" t="inlineStr">
        <is>
          <t>No (nuevo)</t>
        </is>
      </c>
    </row>
    <row r="42" ht="15" customHeight="1" s="27">
      <c r="A42" s="40" t="n"/>
      <c r="B42" s="40" t="n"/>
      <c r="C42" s="40" t="n"/>
      <c r="D42" s="40" t="n"/>
      <c r="E42" s="41" t="inlineStr">
        <is>
          <t>No (nuevo)</t>
        </is>
      </c>
    </row>
    <row r="43" ht="15" customHeight="1" s="27">
      <c r="A43" s="40" t="n"/>
      <c r="B43" s="40" t="n"/>
      <c r="C43" s="40" t="n"/>
      <c r="D43" s="40" t="n"/>
      <c r="E43" s="41" t="inlineStr">
        <is>
          <t>No (nuevo)</t>
        </is>
      </c>
    </row>
    <row r="44" ht="15" customHeight="1" s="27">
      <c r="A44" s="40" t="n"/>
      <c r="B44" s="40" t="n"/>
      <c r="C44" s="40" t="n"/>
      <c r="D44" s="40" t="n"/>
      <c r="E44" s="41" t="inlineStr">
        <is>
          <t>No (nuevo)</t>
        </is>
      </c>
    </row>
    <row r="45" ht="15" customHeight="1" s="27">
      <c r="A45" s="40" t="n"/>
      <c r="B45" s="40" t="n"/>
      <c r="C45" s="40" t="n"/>
      <c r="D45" s="40" t="n"/>
      <c r="E45" s="41" t="inlineStr">
        <is>
          <t>No (nuevo)</t>
        </is>
      </c>
    </row>
    <row r="46" ht="15" customHeight="1" s="27">
      <c r="A46" s="40" t="n"/>
      <c r="B46" s="40" t="n"/>
      <c r="C46" s="40" t="n"/>
      <c r="D46" s="40" t="n"/>
      <c r="E46" s="41" t="inlineStr">
        <is>
          <t>No (nuevo)</t>
        </is>
      </c>
    </row>
  </sheetData>
  <dataValidations count="2">
    <dataValidation sqref="C2:C46" showDropDown="0" showInputMessage="0" showErrorMessage="0" allowBlank="1" type="list" errorStyle="stop" operator="between">
      <formula1>Listas!$G$2:$G$3</formula1>
      <formula2>0</formula2>
    </dataValidation>
    <dataValidation sqref="D2:D46" showDropDown="0" showInputMessage="0" showErrorMessage="0" allowBlank="1" type="list" errorStyle="stop" operator="between">
      <formula1>Listas!$H$2:$H$3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27" min="1" max="1"/>
    <col width="14" customWidth="1" style="27" min="2" max="2"/>
    <col width="14" customWidth="1" style="27" min="3" max="3"/>
    <col width="14" customWidth="1" style="27" min="4" max="4"/>
    <col width="14" customWidth="1" style="27" min="5" max="5"/>
    <col width="40" customWidth="1" style="27" min="6" max="6"/>
    <col width="34" customWidth="1" style="27" min="7" max="7"/>
  </cols>
  <sheetData>
    <row r="1">
      <c r="A1" s="66" t="inlineStr">
        <is>
          <t>Código del paciente</t>
        </is>
      </c>
      <c r="B1" s="66" t="inlineStr">
        <is>
          <t>Firmó el consentimiento</t>
        </is>
      </c>
      <c r="C1" s="66" t="inlineStr">
        <is>
          <t>Fecha de firma</t>
        </is>
      </c>
      <c r="D1" s="66" t="inlineStr">
        <is>
          <t>Retiró su consentimiento</t>
        </is>
      </c>
      <c r="E1" s="66" t="inlineStr">
        <is>
          <t>Fecha de retiro</t>
        </is>
      </c>
      <c r="F1" s="66" t="inlineStr">
        <is>
          <t>Observación</t>
        </is>
      </c>
      <c r="G1" s="66" t="inlineStr">
        <is>
          <t>Control</t>
        </is>
      </c>
    </row>
    <row r="2">
      <c r="A2" s="67">
        <f>IF(Pacientes!A2="","",Pacientes!A2)</f>
        <v/>
      </c>
      <c r="B2" s="68" t="inlineStr">
        <is>
          <t>Sí</t>
        </is>
      </c>
      <c r="C2" s="69" t="n">
        <v>46234</v>
      </c>
      <c r="D2" s="68" t="inlineStr">
        <is>
          <t>No</t>
        </is>
      </c>
      <c r="E2" s="69" t="n"/>
      <c r="F2" s="68" t="inlineStr">
        <is>
          <t>SIMULADO</t>
        </is>
      </c>
      <c r="G2" s="67">
        <f>IF(A2="","",IF(B2&lt;&gt;"Sí","Sin consentimiento: excluir sus registros",IF(C2="","Falta fecha de firma",IF(C2&gt;DATE(2026,8,3),"Firmado después del inicio del pretest (declarar)",IF(D2="Sí","Retirado: excluir desde la fecha de retiro","OK")))))</f>
        <v/>
      </c>
    </row>
    <row r="3">
      <c r="A3" s="67">
        <f>IF(Pacientes!A3="","",Pacientes!A3)</f>
        <v/>
      </c>
      <c r="B3" s="68" t="inlineStr">
        <is>
          <t>Sí</t>
        </is>
      </c>
      <c r="C3" s="69" t="n">
        <v>46231</v>
      </c>
      <c r="D3" s="68" t="inlineStr">
        <is>
          <t>No</t>
        </is>
      </c>
      <c r="E3" s="69" t="n"/>
      <c r="F3" s="68" t="inlineStr">
        <is>
          <t>SIMULADO</t>
        </is>
      </c>
      <c r="G3" s="67">
        <f>IF(A3="","",IF(B3&lt;&gt;"Sí","Sin consentimiento: excluir sus registros",IF(C3="","Falta fecha de firma",IF(C3&gt;DATE(2026,8,3),"Firmado después del inicio del pretest (declarar)",IF(D3="Sí","Retirado: excluir desde la fecha de retiro","OK")))))</f>
        <v/>
      </c>
    </row>
    <row r="4">
      <c r="A4" s="67">
        <f>IF(Pacientes!A4="","",Pacientes!A4)</f>
        <v/>
      </c>
      <c r="B4" s="68" t="inlineStr">
        <is>
          <t>Sí</t>
        </is>
      </c>
      <c r="C4" s="69" t="n">
        <v>46234</v>
      </c>
      <c r="D4" s="68" t="inlineStr">
        <is>
          <t>No</t>
        </is>
      </c>
      <c r="E4" s="69" t="n"/>
      <c r="F4" s="68" t="inlineStr">
        <is>
          <t>SIMULADO</t>
        </is>
      </c>
      <c r="G4" s="67">
        <f>IF(A4="","",IF(B4&lt;&gt;"Sí","Sin consentimiento: excluir sus registros",IF(C4="","Falta fecha de firma",IF(C4&gt;DATE(2026,8,3),"Firmado después del inicio del pretest (declarar)",IF(D4="Sí","Retirado: excluir desde la fecha de retiro","OK")))))</f>
        <v/>
      </c>
    </row>
    <row r="5">
      <c r="A5" s="67">
        <f>IF(Pacientes!A5="","",Pacientes!A5)</f>
        <v/>
      </c>
      <c r="B5" s="68" t="inlineStr">
        <is>
          <t>Sí</t>
        </is>
      </c>
      <c r="C5" s="69" t="n">
        <v>46234</v>
      </c>
      <c r="D5" s="68" t="inlineStr">
        <is>
          <t>No</t>
        </is>
      </c>
      <c r="E5" s="69" t="n"/>
      <c r="F5" s="68" t="inlineStr">
        <is>
          <t>SIMULADO</t>
        </is>
      </c>
      <c r="G5" s="67">
        <f>IF(A5="","",IF(B5&lt;&gt;"Sí","Sin consentimiento: excluir sus registros",IF(C5="","Falta fecha de firma",IF(C5&gt;DATE(2026,8,3),"Firmado después del inicio del pretest (declarar)",IF(D5="Sí","Retirado: excluir desde la fecha de retiro","OK")))))</f>
        <v/>
      </c>
    </row>
    <row r="6">
      <c r="A6" s="67">
        <f>IF(Pacientes!A6="","",Pacientes!A6)</f>
        <v/>
      </c>
      <c r="B6" s="68" t="inlineStr">
        <is>
          <t>Sí</t>
        </is>
      </c>
      <c r="C6" s="69" t="n">
        <v>46234</v>
      </c>
      <c r="D6" s="68" t="inlineStr">
        <is>
          <t>No</t>
        </is>
      </c>
      <c r="E6" s="69" t="n"/>
      <c r="F6" s="68" t="inlineStr">
        <is>
          <t>SIMULADO</t>
        </is>
      </c>
      <c r="G6" s="67">
        <f>IF(A6="","",IF(B6&lt;&gt;"Sí","Sin consentimiento: excluir sus registros",IF(C6="","Falta fecha de firma",IF(C6&gt;DATE(2026,8,3),"Firmado después del inicio del pretest (declarar)",IF(D6="Sí","Retirado: excluir desde la fecha de retiro","OK")))))</f>
        <v/>
      </c>
    </row>
    <row r="7">
      <c r="A7" s="67">
        <f>IF(Pacientes!A7="","",Pacientes!A7)</f>
        <v/>
      </c>
      <c r="B7" s="68" t="inlineStr">
        <is>
          <t>Sí</t>
        </is>
      </c>
      <c r="C7" s="69" t="n">
        <v>46233</v>
      </c>
      <c r="D7" s="68" t="inlineStr">
        <is>
          <t>No</t>
        </is>
      </c>
      <c r="E7" s="69" t="n"/>
      <c r="F7" s="68" t="inlineStr">
        <is>
          <t>SIMULADO</t>
        </is>
      </c>
      <c r="G7" s="67">
        <f>IF(A7="","",IF(B7&lt;&gt;"Sí","Sin consentimiento: excluir sus registros",IF(C7="","Falta fecha de firma",IF(C7&gt;DATE(2026,8,3),"Firmado después del inicio del pretest (declarar)",IF(D7="Sí","Retirado: excluir desde la fecha de retiro","OK")))))</f>
        <v/>
      </c>
    </row>
    <row r="8">
      <c r="A8" s="67">
        <f>IF(Pacientes!A8="","",Pacientes!A8)</f>
        <v/>
      </c>
      <c r="B8" s="68" t="inlineStr">
        <is>
          <t>Sí</t>
        </is>
      </c>
      <c r="C8" s="69" t="n">
        <v>46232</v>
      </c>
      <c r="D8" s="68" t="inlineStr">
        <is>
          <t>No</t>
        </is>
      </c>
      <c r="E8" s="69" t="n"/>
      <c r="F8" s="68" t="inlineStr">
        <is>
          <t>SIMULADO</t>
        </is>
      </c>
      <c r="G8" s="67">
        <f>IF(A8="","",IF(B8&lt;&gt;"Sí","Sin consentimiento: excluir sus registros",IF(C8="","Falta fecha de firma",IF(C8&gt;DATE(2026,8,3),"Firmado después del inicio del pretest (declarar)",IF(D8="Sí","Retirado: excluir desde la fecha de retiro","OK")))))</f>
        <v/>
      </c>
    </row>
    <row r="9">
      <c r="A9" s="67">
        <f>IF(Pacientes!A9="","",Pacientes!A9)</f>
        <v/>
      </c>
      <c r="B9" s="68" t="inlineStr">
        <is>
          <t>Sí</t>
        </is>
      </c>
      <c r="C9" s="69" t="n">
        <v>46233</v>
      </c>
      <c r="D9" s="68" t="inlineStr">
        <is>
          <t>No</t>
        </is>
      </c>
      <c r="E9" s="69" t="n"/>
      <c r="F9" s="68" t="inlineStr">
        <is>
          <t>SIMULADO</t>
        </is>
      </c>
      <c r="G9" s="67">
        <f>IF(A9="","",IF(B9&lt;&gt;"Sí","Sin consentimiento: excluir sus registros",IF(C9="","Falta fecha de firma",IF(C9&gt;DATE(2026,8,3),"Firmado después del inicio del pretest (declarar)",IF(D9="Sí","Retirado: excluir desde la fecha de retiro","OK")))))</f>
        <v/>
      </c>
    </row>
    <row r="10">
      <c r="A10" s="67">
        <f>IF(Pacientes!A10="","",Pacientes!A10)</f>
        <v/>
      </c>
      <c r="B10" s="68" t="inlineStr">
        <is>
          <t>Sí</t>
        </is>
      </c>
      <c r="C10" s="69" t="n">
        <v>46231</v>
      </c>
      <c r="D10" s="68" t="inlineStr">
        <is>
          <t>No</t>
        </is>
      </c>
      <c r="E10" s="69" t="n"/>
      <c r="F10" s="68" t="inlineStr">
        <is>
          <t>SIMULADO</t>
        </is>
      </c>
      <c r="G10" s="67">
        <f>IF(A10="","",IF(B10&lt;&gt;"Sí","Sin consentimiento: excluir sus registros",IF(C10="","Falta fecha de firma",IF(C10&gt;DATE(2026,8,3),"Firmado después del inicio del pretest (declarar)",IF(D10="Sí","Retirado: excluir desde la fecha de retiro","OK")))))</f>
        <v/>
      </c>
    </row>
    <row r="11">
      <c r="A11" s="67">
        <f>IF(Pacientes!A11="","",Pacientes!A11)</f>
        <v/>
      </c>
      <c r="B11" s="68" t="inlineStr">
        <is>
          <t>Sí</t>
        </is>
      </c>
      <c r="C11" s="69" t="n">
        <v>46231</v>
      </c>
      <c r="D11" s="68" t="inlineStr">
        <is>
          <t>No</t>
        </is>
      </c>
      <c r="E11" s="69" t="n"/>
      <c r="F11" s="68" t="inlineStr">
        <is>
          <t>SIMULADO</t>
        </is>
      </c>
      <c r="G11" s="67">
        <f>IF(A11="","",IF(B11&lt;&gt;"Sí","Sin consentimiento: excluir sus registros",IF(C11="","Falta fecha de firma",IF(C11&gt;DATE(2026,8,3),"Firmado después del inicio del pretest (declarar)",IF(D11="Sí","Retirado: excluir desde la fecha de retiro","OK")))))</f>
        <v/>
      </c>
    </row>
    <row r="12">
      <c r="A12" s="67">
        <f>IF(Pacientes!A12="","",Pacientes!A12)</f>
        <v/>
      </c>
      <c r="B12" s="68" t="inlineStr">
        <is>
          <t>Sí</t>
        </is>
      </c>
      <c r="C12" s="69" t="n">
        <v>46232</v>
      </c>
      <c r="D12" s="68" t="inlineStr">
        <is>
          <t>No</t>
        </is>
      </c>
      <c r="E12" s="69" t="n"/>
      <c r="F12" s="68" t="inlineStr">
        <is>
          <t>SIMULADO</t>
        </is>
      </c>
      <c r="G12" s="67">
        <f>IF(A12="","",IF(B12&lt;&gt;"Sí","Sin consentimiento: excluir sus registros",IF(C12="","Falta fecha de firma",IF(C12&gt;DATE(2026,8,3),"Firmado después del inicio del pretest (declarar)",IF(D12="Sí","Retirado: excluir desde la fecha de retiro","OK")))))</f>
        <v/>
      </c>
    </row>
    <row r="13">
      <c r="A13" s="67">
        <f>IF(Pacientes!A13="","",Pacientes!A13)</f>
        <v/>
      </c>
      <c r="B13" s="68" t="inlineStr">
        <is>
          <t>Sí</t>
        </is>
      </c>
      <c r="C13" s="69" t="n">
        <v>46234</v>
      </c>
      <c r="D13" s="68" t="inlineStr">
        <is>
          <t>No</t>
        </is>
      </c>
      <c r="E13" s="69" t="n"/>
      <c r="F13" s="68" t="inlineStr">
        <is>
          <t>SIMULADO</t>
        </is>
      </c>
      <c r="G13" s="67">
        <f>IF(A13="","",IF(B13&lt;&gt;"Sí","Sin consentimiento: excluir sus registros",IF(C13="","Falta fecha de firma",IF(C13&gt;DATE(2026,8,3),"Firmado después del inicio del pretest (declarar)",IF(D13="Sí","Retirado: excluir desde la fecha de retiro","OK")))))</f>
        <v/>
      </c>
    </row>
    <row r="14">
      <c r="A14" s="67">
        <f>IF(Pacientes!A14="","",Pacientes!A14)</f>
        <v/>
      </c>
      <c r="B14" s="68" t="inlineStr">
        <is>
          <t>Sí</t>
        </is>
      </c>
      <c r="C14" s="69" t="n">
        <v>46233</v>
      </c>
      <c r="D14" s="68" t="inlineStr">
        <is>
          <t>No</t>
        </is>
      </c>
      <c r="E14" s="69" t="n"/>
      <c r="F14" s="68" t="inlineStr">
        <is>
          <t>SIMULADO</t>
        </is>
      </c>
      <c r="G14" s="67">
        <f>IF(A14="","",IF(B14&lt;&gt;"Sí","Sin consentimiento: excluir sus registros",IF(C14="","Falta fecha de firma",IF(C14&gt;DATE(2026,8,3),"Firmado después del inicio del pretest (declarar)",IF(D14="Sí","Retirado: excluir desde la fecha de retiro","OK")))))</f>
        <v/>
      </c>
    </row>
    <row r="15">
      <c r="A15" s="67">
        <f>IF(Pacientes!A15="","",Pacientes!A15)</f>
        <v/>
      </c>
      <c r="B15" s="68" t="inlineStr">
        <is>
          <t>Sí</t>
        </is>
      </c>
      <c r="C15" s="69" t="n">
        <v>46232</v>
      </c>
      <c r="D15" s="68" t="inlineStr">
        <is>
          <t>No</t>
        </is>
      </c>
      <c r="E15" s="69" t="n"/>
      <c r="F15" s="68" t="inlineStr">
        <is>
          <t>SIMULADO</t>
        </is>
      </c>
      <c r="G15" s="67">
        <f>IF(A15="","",IF(B15&lt;&gt;"Sí","Sin consentimiento: excluir sus registros",IF(C15="","Falta fecha de firma",IF(C15&gt;DATE(2026,8,3),"Firmado después del inicio del pretest (declarar)",IF(D15="Sí","Retirado: excluir desde la fecha de retiro","OK")))))</f>
        <v/>
      </c>
    </row>
    <row r="16">
      <c r="A16" s="67">
        <f>IF(Pacientes!A16="","",Pacientes!A16)</f>
        <v/>
      </c>
      <c r="B16" s="68" t="inlineStr">
        <is>
          <t>Sí</t>
        </is>
      </c>
      <c r="C16" s="69" t="n">
        <v>46232</v>
      </c>
      <c r="D16" s="68" t="inlineStr">
        <is>
          <t>No</t>
        </is>
      </c>
      <c r="E16" s="69" t="n"/>
      <c r="F16" s="68" t="inlineStr">
        <is>
          <t>SIMULADO</t>
        </is>
      </c>
      <c r="G16" s="67">
        <f>IF(A16="","",IF(B16&lt;&gt;"Sí","Sin consentimiento: excluir sus registros",IF(C16="","Falta fecha de firma",IF(C16&gt;DATE(2026,8,3),"Firmado después del inicio del pretest (declarar)",IF(D16="Sí","Retirado: excluir desde la fecha de retiro","OK")))))</f>
        <v/>
      </c>
    </row>
    <row r="17">
      <c r="A17" s="67">
        <f>IF(Pacientes!A17="","",Pacientes!A17)</f>
        <v/>
      </c>
      <c r="B17" s="68" t="inlineStr">
        <is>
          <t>Sí</t>
        </is>
      </c>
      <c r="C17" s="69" t="n">
        <v>46232</v>
      </c>
      <c r="D17" s="68" t="inlineStr">
        <is>
          <t>No</t>
        </is>
      </c>
      <c r="E17" s="69" t="n"/>
      <c r="F17" s="68" t="inlineStr">
        <is>
          <t>SIMULADO</t>
        </is>
      </c>
      <c r="G17" s="67">
        <f>IF(A17="","",IF(B17&lt;&gt;"Sí","Sin consentimiento: excluir sus registros",IF(C17="","Falta fecha de firma",IF(C17&gt;DATE(2026,8,3),"Firmado después del inicio del pretest (declarar)",IF(D17="Sí","Retirado: excluir desde la fecha de retiro","OK")))))</f>
        <v/>
      </c>
    </row>
    <row r="18">
      <c r="A18" s="67">
        <f>IF(Pacientes!A18="","",Pacientes!A18)</f>
        <v/>
      </c>
      <c r="B18" s="68" t="inlineStr">
        <is>
          <t>Sí</t>
        </is>
      </c>
      <c r="C18" s="69" t="n">
        <v>46232</v>
      </c>
      <c r="D18" s="68" t="inlineStr">
        <is>
          <t>No</t>
        </is>
      </c>
      <c r="E18" s="69" t="n"/>
      <c r="F18" s="68" t="inlineStr">
        <is>
          <t>SIMULADO</t>
        </is>
      </c>
      <c r="G18" s="67">
        <f>IF(A18="","",IF(B18&lt;&gt;"Sí","Sin consentimiento: excluir sus registros",IF(C18="","Falta fecha de firma",IF(C18&gt;DATE(2026,8,3),"Firmado después del inicio del pretest (declarar)",IF(D18="Sí","Retirado: excluir desde la fecha de retiro","OK")))))</f>
        <v/>
      </c>
    </row>
    <row r="19">
      <c r="A19" s="67">
        <f>IF(Pacientes!A19="","",Pacientes!A19)</f>
        <v/>
      </c>
      <c r="B19" s="68" t="inlineStr">
        <is>
          <t>Sí</t>
        </is>
      </c>
      <c r="C19" s="69" t="n">
        <v>46234</v>
      </c>
      <c r="D19" s="68" t="inlineStr">
        <is>
          <t>No</t>
        </is>
      </c>
      <c r="E19" s="69" t="n"/>
      <c r="F19" s="68" t="inlineStr">
        <is>
          <t>SIMULADO</t>
        </is>
      </c>
      <c r="G19" s="67">
        <f>IF(A19="","",IF(B19&lt;&gt;"Sí","Sin consentimiento: excluir sus registros",IF(C19="","Falta fecha de firma",IF(C19&gt;DATE(2026,8,3),"Firmado después del inicio del pretest (declarar)",IF(D19="Sí","Retirado: excluir desde la fecha de retiro","OK")))))</f>
        <v/>
      </c>
    </row>
    <row r="20">
      <c r="A20" s="67">
        <f>IF(Pacientes!A20="","",Pacientes!A20)</f>
        <v/>
      </c>
      <c r="B20" s="68" t="inlineStr">
        <is>
          <t>Sí</t>
        </is>
      </c>
      <c r="C20" s="69" t="n">
        <v>46230</v>
      </c>
      <c r="D20" s="68" t="inlineStr">
        <is>
          <t>No</t>
        </is>
      </c>
      <c r="E20" s="69" t="n"/>
      <c r="F20" s="68" t="inlineStr">
        <is>
          <t>SIMULADO</t>
        </is>
      </c>
      <c r="G20" s="67">
        <f>IF(A20="","",IF(B20&lt;&gt;"Sí","Sin consentimiento: excluir sus registros",IF(C20="","Falta fecha de firma",IF(C20&gt;DATE(2026,8,3),"Firmado después del inicio del pretest (declarar)",IF(D20="Sí","Retirado: excluir desde la fecha de retiro","OK")))))</f>
        <v/>
      </c>
    </row>
    <row r="21">
      <c r="A21" s="67">
        <f>IF(Pacientes!A21="","",Pacientes!A21)</f>
        <v/>
      </c>
      <c r="B21" s="68" t="inlineStr">
        <is>
          <t>Sí</t>
        </is>
      </c>
      <c r="C21" s="69" t="n">
        <v>46231</v>
      </c>
      <c r="D21" s="68" t="inlineStr">
        <is>
          <t>No</t>
        </is>
      </c>
      <c r="E21" s="69" t="n"/>
      <c r="F21" s="68" t="inlineStr">
        <is>
          <t>SIMULADO</t>
        </is>
      </c>
      <c r="G21" s="67">
        <f>IF(A21="","",IF(B21&lt;&gt;"Sí","Sin consentimiento: excluir sus registros",IF(C21="","Falta fecha de firma",IF(C21&gt;DATE(2026,8,3),"Firmado después del inicio del pretest (declarar)",IF(D21="Sí","Retirado: excluir desde la fecha de retiro","OK")))))</f>
        <v/>
      </c>
    </row>
    <row r="22">
      <c r="A22" s="67">
        <f>IF(Pacientes!A22="","",Pacientes!A22)</f>
        <v/>
      </c>
      <c r="B22" s="68" t="inlineStr">
        <is>
          <t>Sí</t>
        </is>
      </c>
      <c r="C22" s="69" t="n">
        <v>46232</v>
      </c>
      <c r="D22" s="68" t="inlineStr">
        <is>
          <t>No</t>
        </is>
      </c>
      <c r="E22" s="69" t="n"/>
      <c r="F22" s="68" t="inlineStr">
        <is>
          <t>SIMULADO</t>
        </is>
      </c>
      <c r="G22" s="67">
        <f>IF(A22="","",IF(B22&lt;&gt;"Sí","Sin consentimiento: excluir sus registros",IF(C22="","Falta fecha de firma",IF(C22&gt;DATE(2026,8,3),"Firmado después del inicio del pretest (declarar)",IF(D22="Sí","Retirado: excluir desde la fecha de retiro","OK")))))</f>
        <v/>
      </c>
    </row>
    <row r="23">
      <c r="A23" s="67">
        <f>IF(Pacientes!A23="","",Pacientes!A23)</f>
        <v/>
      </c>
      <c r="B23" s="68" t="inlineStr">
        <is>
          <t>Sí</t>
        </is>
      </c>
      <c r="C23" s="69" t="n">
        <v>46233</v>
      </c>
      <c r="D23" s="68" t="inlineStr">
        <is>
          <t>No</t>
        </is>
      </c>
      <c r="E23" s="69" t="n"/>
      <c r="F23" s="68" t="inlineStr">
        <is>
          <t>SIMULADO</t>
        </is>
      </c>
      <c r="G23" s="67">
        <f>IF(A23="","",IF(B23&lt;&gt;"Sí","Sin consentimiento: excluir sus registros",IF(C23="","Falta fecha de firma",IF(C23&gt;DATE(2026,8,3),"Firmado después del inicio del pretest (declarar)",IF(D23="Sí","Retirado: excluir desde la fecha de retiro","OK")))))</f>
        <v/>
      </c>
    </row>
    <row r="24">
      <c r="A24" s="67">
        <f>IF(Pacientes!A24="","",Pacientes!A24)</f>
        <v/>
      </c>
      <c r="B24" s="68" t="inlineStr">
        <is>
          <t>Sí</t>
        </is>
      </c>
      <c r="C24" s="69" t="n">
        <v>46232</v>
      </c>
      <c r="D24" s="68" t="inlineStr">
        <is>
          <t>No</t>
        </is>
      </c>
      <c r="E24" s="69" t="n"/>
      <c r="F24" s="68" t="inlineStr">
        <is>
          <t>SIMULADO</t>
        </is>
      </c>
      <c r="G24" s="67">
        <f>IF(A24="","",IF(B24&lt;&gt;"Sí","Sin consentimiento: excluir sus registros",IF(C24="","Falta fecha de firma",IF(C24&gt;DATE(2026,8,3),"Firmado después del inicio del pretest (declarar)",IF(D24="Sí","Retirado: excluir desde la fecha de retiro","OK")))))</f>
        <v/>
      </c>
    </row>
    <row r="25">
      <c r="A25" s="67">
        <f>IF(Pacientes!A25="","",Pacientes!A25)</f>
        <v/>
      </c>
      <c r="B25" s="68" t="inlineStr">
        <is>
          <t>Sí</t>
        </is>
      </c>
      <c r="C25" s="69" t="n">
        <v>46231</v>
      </c>
      <c r="D25" s="68" t="inlineStr">
        <is>
          <t>No</t>
        </is>
      </c>
      <c r="E25" s="69" t="n"/>
      <c r="F25" s="68" t="inlineStr">
        <is>
          <t>SIMULADO</t>
        </is>
      </c>
      <c r="G25" s="67">
        <f>IF(A25="","",IF(B25&lt;&gt;"Sí","Sin consentimiento: excluir sus registros",IF(C25="","Falta fecha de firma",IF(C25&gt;DATE(2026,8,3),"Firmado después del inicio del pretest (declarar)",IF(D25="Sí","Retirado: excluir desde la fecha de retiro","OK")))))</f>
        <v/>
      </c>
    </row>
    <row r="26">
      <c r="A26" s="67">
        <f>IF(Pacientes!A26="","",Pacientes!A26)</f>
        <v/>
      </c>
      <c r="B26" s="68" t="inlineStr">
        <is>
          <t>Sí</t>
        </is>
      </c>
      <c r="C26" s="69" t="n">
        <v>46230</v>
      </c>
      <c r="D26" s="68" t="inlineStr">
        <is>
          <t>No</t>
        </is>
      </c>
      <c r="E26" s="69" t="n"/>
      <c r="F26" s="68" t="inlineStr">
        <is>
          <t>SIMULADO</t>
        </is>
      </c>
      <c r="G26" s="67">
        <f>IF(A26="","",IF(B26&lt;&gt;"Sí","Sin consentimiento: excluir sus registros",IF(C26="","Falta fecha de firma",IF(C26&gt;DATE(2026,8,3),"Firmado después del inicio del pretest (declarar)",IF(D26="Sí","Retirado: excluir desde la fecha de retiro","OK")))))</f>
        <v/>
      </c>
    </row>
    <row r="27">
      <c r="A27" s="67">
        <f>IF(Pacientes!A27="","",Pacientes!A27)</f>
        <v/>
      </c>
      <c r="B27" s="68" t="inlineStr">
        <is>
          <t>Sí</t>
        </is>
      </c>
      <c r="C27" s="69" t="n">
        <v>46231</v>
      </c>
      <c r="D27" s="68" t="inlineStr">
        <is>
          <t>No</t>
        </is>
      </c>
      <c r="E27" s="69" t="n"/>
      <c r="F27" s="68" t="inlineStr">
        <is>
          <t>SIMULADO</t>
        </is>
      </c>
      <c r="G27" s="67">
        <f>IF(A27="","",IF(B27&lt;&gt;"Sí","Sin consentimiento: excluir sus registros",IF(C27="","Falta fecha de firma",IF(C27&gt;DATE(2026,8,3),"Firmado después del inicio del pretest (declarar)",IF(D27="Sí","Retirado: excluir desde la fecha de retiro","OK")))))</f>
        <v/>
      </c>
    </row>
    <row r="28">
      <c r="A28" s="67">
        <f>IF(Pacientes!A28="","",Pacientes!A28)</f>
        <v/>
      </c>
      <c r="B28" s="68" t="inlineStr">
        <is>
          <t>Sí</t>
        </is>
      </c>
      <c r="C28" s="69" t="n">
        <v>46230</v>
      </c>
      <c r="D28" s="68" t="inlineStr">
        <is>
          <t>No</t>
        </is>
      </c>
      <c r="E28" s="69" t="n"/>
      <c r="F28" s="68" t="inlineStr">
        <is>
          <t>SIMULADO</t>
        </is>
      </c>
      <c r="G28" s="67">
        <f>IF(A28="","",IF(B28&lt;&gt;"Sí","Sin consentimiento: excluir sus registros",IF(C28="","Falta fecha de firma",IF(C28&gt;DATE(2026,8,3),"Firmado después del inicio del pretest (declarar)",IF(D28="Sí","Retirado: excluir desde la fecha de retiro","OK")))))</f>
        <v/>
      </c>
    </row>
    <row r="29">
      <c r="A29" s="67">
        <f>IF(Pacientes!A29="","",Pacientes!A29)</f>
        <v/>
      </c>
      <c r="B29" s="68" t="inlineStr">
        <is>
          <t>Sí</t>
        </is>
      </c>
      <c r="C29" s="69" t="n">
        <v>46233</v>
      </c>
      <c r="D29" s="68" t="inlineStr">
        <is>
          <t>No</t>
        </is>
      </c>
      <c r="E29" s="69" t="n"/>
      <c r="F29" s="68" t="inlineStr">
        <is>
          <t>SIMULADO</t>
        </is>
      </c>
      <c r="G29" s="67">
        <f>IF(A29="","",IF(B29&lt;&gt;"Sí","Sin consentimiento: excluir sus registros",IF(C29="","Falta fecha de firma",IF(C29&gt;DATE(2026,8,3),"Firmado después del inicio del pretest (declarar)",IF(D29="Sí","Retirado: excluir desde la fecha de retiro","OK")))))</f>
        <v/>
      </c>
    </row>
    <row r="30">
      <c r="A30" s="67">
        <f>IF(Pacientes!A30="","",Pacientes!A30)</f>
        <v/>
      </c>
      <c r="B30" s="68" t="inlineStr">
        <is>
          <t>Sí</t>
        </is>
      </c>
      <c r="C30" s="69" t="n">
        <v>46232</v>
      </c>
      <c r="D30" s="68" t="inlineStr">
        <is>
          <t>No</t>
        </is>
      </c>
      <c r="E30" s="69" t="n"/>
      <c r="F30" s="68" t="inlineStr">
        <is>
          <t>SIMULADO</t>
        </is>
      </c>
      <c r="G30" s="67">
        <f>IF(A30="","",IF(B30&lt;&gt;"Sí","Sin consentimiento: excluir sus registros",IF(C30="","Falta fecha de firma",IF(C30&gt;DATE(2026,8,3),"Firmado después del inicio del pretest (declarar)",IF(D30="Sí","Retirado: excluir desde la fecha de retiro","OK")))))</f>
        <v/>
      </c>
    </row>
    <row r="31">
      <c r="A31" s="67">
        <f>IF(Pacientes!A31="","",Pacientes!A31)</f>
        <v/>
      </c>
      <c r="B31" s="68" t="inlineStr">
        <is>
          <t>Sí</t>
        </is>
      </c>
      <c r="C31" s="69" t="n">
        <v>46231</v>
      </c>
      <c r="D31" s="68" t="inlineStr">
        <is>
          <t>No</t>
        </is>
      </c>
      <c r="E31" s="69" t="n"/>
      <c r="F31" s="68" t="inlineStr">
        <is>
          <t>SIMULADO</t>
        </is>
      </c>
      <c r="G31" s="67">
        <f>IF(A31="","",IF(B31&lt;&gt;"Sí","Sin consentimiento: excluir sus registros",IF(C31="","Falta fecha de firma",IF(C31&gt;DATE(2026,8,3),"Firmado después del inicio del pretest (declarar)",IF(D31="Sí","Retirado: excluir desde la fecha de retiro","OK")))))</f>
        <v/>
      </c>
    </row>
    <row r="32">
      <c r="A32" s="67">
        <f>IF(Pacientes!A32="","",Pacientes!A32)</f>
        <v/>
      </c>
      <c r="B32" s="68" t="n"/>
      <c r="C32" s="69" t="n"/>
      <c r="D32" s="68" t="n"/>
      <c r="E32" s="69" t="n"/>
      <c r="F32" s="68" t="n"/>
      <c r="G32" s="67">
        <f>IF(A32="","",IF(B32&lt;&gt;"Sí","Sin consentimiento: excluir sus registros",IF(C32="","Falta fecha de firma",IF(C32&gt;DATE(2026,8,3),"Firmado después del inicio del pretest (declarar)",IF(D32="Sí","Retirado: excluir desde la fecha de retiro","OK")))))</f>
        <v/>
      </c>
    </row>
    <row r="33">
      <c r="A33" s="67">
        <f>IF(Pacientes!A33="","",Pacientes!A33)</f>
        <v/>
      </c>
      <c r="B33" s="68" t="n"/>
      <c r="C33" s="69" t="n"/>
      <c r="D33" s="68" t="n"/>
      <c r="E33" s="69" t="n"/>
      <c r="F33" s="68" t="n"/>
      <c r="G33" s="67">
        <f>IF(A33="","",IF(B33&lt;&gt;"Sí","Sin consentimiento: excluir sus registros",IF(C33="","Falta fecha de firma",IF(C33&gt;DATE(2026,8,3),"Firmado después del inicio del pretest (declarar)",IF(D33="Sí","Retirado: excluir desde la fecha de retiro","OK")))))</f>
        <v/>
      </c>
    </row>
    <row r="34">
      <c r="A34" s="67">
        <f>IF(Pacientes!A34="","",Pacientes!A34)</f>
        <v/>
      </c>
      <c r="B34" s="68" t="n"/>
      <c r="C34" s="69" t="n"/>
      <c r="D34" s="68" t="n"/>
      <c r="E34" s="69" t="n"/>
      <c r="F34" s="68" t="n"/>
      <c r="G34" s="67">
        <f>IF(A34="","",IF(B34&lt;&gt;"Sí","Sin consentimiento: excluir sus registros",IF(C34="","Falta fecha de firma",IF(C34&gt;DATE(2026,8,3),"Firmado después del inicio del pretest (declarar)",IF(D34="Sí","Retirado: excluir desde la fecha de retiro","OK")))))</f>
        <v/>
      </c>
    </row>
    <row r="35">
      <c r="A35" s="67">
        <f>IF(Pacientes!A35="","",Pacientes!A35)</f>
        <v/>
      </c>
      <c r="B35" s="68" t="n"/>
      <c r="C35" s="69" t="n"/>
      <c r="D35" s="68" t="n"/>
      <c r="E35" s="69" t="n"/>
      <c r="F35" s="68" t="n"/>
      <c r="G35" s="67">
        <f>IF(A35="","",IF(B35&lt;&gt;"Sí","Sin consentimiento: excluir sus registros",IF(C35="","Falta fecha de firma",IF(C35&gt;DATE(2026,8,3),"Firmado después del inicio del pretest (declarar)",IF(D35="Sí","Retirado: excluir desde la fecha de retiro","OK")))))</f>
        <v/>
      </c>
    </row>
    <row r="36">
      <c r="A36" s="67">
        <f>IF(Pacientes!A36="","",Pacientes!A36)</f>
        <v/>
      </c>
      <c r="B36" s="68" t="n"/>
      <c r="C36" s="69" t="n"/>
      <c r="D36" s="68" t="n"/>
      <c r="E36" s="69" t="n"/>
      <c r="F36" s="68" t="n"/>
      <c r="G36" s="67">
        <f>IF(A36="","",IF(B36&lt;&gt;"Sí","Sin consentimiento: excluir sus registros",IF(C36="","Falta fecha de firma",IF(C36&gt;DATE(2026,8,3),"Firmado después del inicio del pretest (declarar)",IF(D36="Sí","Retirado: excluir desde la fecha de retiro","OK")))))</f>
        <v/>
      </c>
    </row>
    <row r="37">
      <c r="A37" s="67">
        <f>IF(Pacientes!A37="","",Pacientes!A37)</f>
        <v/>
      </c>
      <c r="B37" s="68" t="n"/>
      <c r="C37" s="69" t="n"/>
      <c r="D37" s="68" t="n"/>
      <c r="E37" s="69" t="n"/>
      <c r="F37" s="68" t="n"/>
      <c r="G37" s="67">
        <f>IF(A37="","",IF(B37&lt;&gt;"Sí","Sin consentimiento: excluir sus registros",IF(C37="","Falta fecha de firma",IF(C37&gt;DATE(2026,8,3),"Firmado después del inicio del pretest (declarar)",IF(D37="Sí","Retirado: excluir desde la fecha de retiro","OK")))))</f>
        <v/>
      </c>
    </row>
    <row r="38">
      <c r="A38" s="67">
        <f>IF(Pacientes!A38="","",Pacientes!A38)</f>
        <v/>
      </c>
      <c r="B38" s="68" t="n"/>
      <c r="C38" s="69" t="n"/>
      <c r="D38" s="68" t="n"/>
      <c r="E38" s="69" t="n"/>
      <c r="F38" s="68" t="n"/>
      <c r="G38" s="67">
        <f>IF(A38="","",IF(B38&lt;&gt;"Sí","Sin consentimiento: excluir sus registros",IF(C38="","Falta fecha de firma",IF(C38&gt;DATE(2026,8,3),"Firmado después del inicio del pretest (declarar)",IF(D38="Sí","Retirado: excluir desde la fecha de retiro","OK")))))</f>
        <v/>
      </c>
    </row>
    <row r="39">
      <c r="A39" s="67">
        <f>IF(Pacientes!A39="","",Pacientes!A39)</f>
        <v/>
      </c>
      <c r="B39" s="68" t="n"/>
      <c r="C39" s="69" t="n"/>
      <c r="D39" s="68" t="n"/>
      <c r="E39" s="69" t="n"/>
      <c r="F39" s="68" t="n"/>
      <c r="G39" s="67">
        <f>IF(A39="","",IF(B39&lt;&gt;"Sí","Sin consentimiento: excluir sus registros",IF(C39="","Falta fecha de firma",IF(C39&gt;DATE(2026,8,3),"Firmado después del inicio del pretest (declarar)",IF(D39="Sí","Retirado: excluir desde la fecha de retiro","OK")))))</f>
        <v/>
      </c>
    </row>
    <row r="40">
      <c r="A40" s="67">
        <f>IF(Pacientes!A40="","",Pacientes!A40)</f>
        <v/>
      </c>
      <c r="B40" s="68" t="n"/>
      <c r="C40" s="69" t="n"/>
      <c r="D40" s="68" t="n"/>
      <c r="E40" s="69" t="n"/>
      <c r="F40" s="68" t="n"/>
      <c r="G40" s="67">
        <f>IF(A40="","",IF(B40&lt;&gt;"Sí","Sin consentimiento: excluir sus registros",IF(C40="","Falta fecha de firma",IF(C40&gt;DATE(2026,8,3),"Firmado después del inicio del pretest (declarar)",IF(D40="Sí","Retirado: excluir desde la fecha de retiro","OK")))))</f>
        <v/>
      </c>
    </row>
    <row r="41">
      <c r="A41" s="67">
        <f>IF(Pacientes!A41="","",Pacientes!A41)</f>
        <v/>
      </c>
      <c r="B41" s="68" t="n"/>
      <c r="C41" s="69" t="n"/>
      <c r="D41" s="68" t="n"/>
      <c r="E41" s="69" t="n"/>
      <c r="F41" s="68" t="n"/>
      <c r="G41" s="67">
        <f>IF(A41="","",IF(B41&lt;&gt;"Sí","Sin consentimiento: excluir sus registros",IF(C41="","Falta fecha de firma",IF(C41&gt;DATE(2026,8,3),"Firmado después del inicio del pretest (declarar)",IF(D41="Sí","Retirado: excluir desde la fecha de retiro","OK")))))</f>
        <v/>
      </c>
    </row>
    <row r="42">
      <c r="A42" s="67">
        <f>IF(Pacientes!A42="","",Pacientes!A42)</f>
        <v/>
      </c>
      <c r="B42" s="68" t="n"/>
      <c r="C42" s="69" t="n"/>
      <c r="D42" s="68" t="n"/>
      <c r="E42" s="69" t="n"/>
      <c r="F42" s="68" t="n"/>
      <c r="G42" s="67">
        <f>IF(A42="","",IF(B42&lt;&gt;"Sí","Sin consentimiento: excluir sus registros",IF(C42="","Falta fecha de firma",IF(C42&gt;DATE(2026,8,3),"Firmado después del inicio del pretest (declarar)",IF(D42="Sí","Retirado: excluir desde la fecha de retiro","OK")))))</f>
        <v/>
      </c>
    </row>
    <row r="43">
      <c r="A43" s="67">
        <f>IF(Pacientes!A43="","",Pacientes!A43)</f>
        <v/>
      </c>
      <c r="B43" s="68" t="n"/>
      <c r="C43" s="69" t="n"/>
      <c r="D43" s="68" t="n"/>
      <c r="E43" s="69" t="n"/>
      <c r="F43" s="68" t="n"/>
      <c r="G43" s="67">
        <f>IF(A43="","",IF(B43&lt;&gt;"Sí","Sin consentimiento: excluir sus registros",IF(C43="","Falta fecha de firma",IF(C43&gt;DATE(2026,8,3),"Firmado después del inicio del pretest (declarar)",IF(D43="Sí","Retirado: excluir desde la fecha de retiro","OK")))))</f>
        <v/>
      </c>
    </row>
    <row r="44">
      <c r="A44" s="67">
        <f>IF(Pacientes!A44="","",Pacientes!A44)</f>
        <v/>
      </c>
      <c r="B44" s="68" t="n"/>
      <c r="C44" s="69" t="n"/>
      <c r="D44" s="68" t="n"/>
      <c r="E44" s="69" t="n"/>
      <c r="F44" s="68" t="n"/>
      <c r="G44" s="67">
        <f>IF(A44="","",IF(B44&lt;&gt;"Sí","Sin consentimiento: excluir sus registros",IF(C44="","Falta fecha de firma",IF(C44&gt;DATE(2026,8,3),"Firmado después del inicio del pretest (declarar)",IF(D44="Sí","Retirado: excluir desde la fecha de retiro","OK")))))</f>
        <v/>
      </c>
    </row>
    <row r="45">
      <c r="A45" s="67">
        <f>IF(Pacientes!A45="","",Pacientes!A45)</f>
        <v/>
      </c>
      <c r="B45" s="68" t="n"/>
      <c r="C45" s="69" t="n"/>
      <c r="D45" s="68" t="n"/>
      <c r="E45" s="69" t="n"/>
      <c r="F45" s="68" t="n"/>
      <c r="G45" s="67">
        <f>IF(A45="","",IF(B45&lt;&gt;"Sí","Sin consentimiento: excluir sus registros",IF(C45="","Falta fecha de firma",IF(C45&gt;DATE(2026,8,3),"Firmado después del inicio del pretest (declarar)",IF(D45="Sí","Retirado: excluir desde la fecha de retiro","OK")))))</f>
        <v/>
      </c>
    </row>
    <row r="46">
      <c r="A46" s="67">
        <f>IF(Pacientes!A46="","",Pacientes!A46)</f>
        <v/>
      </c>
      <c r="B46" s="68" t="n"/>
      <c r="C46" s="69" t="n"/>
      <c r="D46" s="68" t="n"/>
      <c r="E46" s="69" t="n"/>
      <c r="F46" s="68" t="n"/>
      <c r="G46" s="67">
        <f>IF(A46="","",IF(B46&lt;&gt;"Sí","Sin consentimiento: excluir sus registros",IF(C46="","Falta fecha de firma",IF(C46&gt;DATE(2026,8,3),"Firmado después del inicio del pretest (declarar)",IF(D46="Sí","Retirado: excluir desde la fecha de retiro","OK")))))</f>
        <v/>
      </c>
    </row>
  </sheetData>
  <conditionalFormatting sqref="G2:G46">
    <cfRule type="expression" priority="1" dxfId="0">
      <formula>AND(G2&lt;&gt;"",G2&lt;&gt;"OK")</formula>
    </cfRule>
  </conditionalFormatting>
  <dataValidations count="1">
    <dataValidation sqref="B2:B46 D2:D46 I2:I27" showDropDown="0" showInputMessage="0" showErrorMessage="0" allowBlank="1" type="list">
      <formula1>Listas!$C$2:$C$3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7" min="1" max="1"/>
    <col width="60" customWidth="1" style="27" min="2" max="2"/>
    <col width="16" customWidth="1" style="27" min="3" max="3"/>
    <col width="18" customWidth="1" style="27" min="4" max="4"/>
    <col width="30" customWidth="1" style="27" min="5" max="5"/>
    <col width="20" customWidth="1" style="27" min="6" max="6"/>
  </cols>
  <sheetData>
    <row r="1" ht="30" customHeight="1" s="27">
      <c r="A1" s="42" t="inlineStr">
        <is>
          <t>Módulo (dimensión VI)</t>
        </is>
      </c>
      <c r="B1" s="42" t="inlineStr">
        <is>
          <t>Funcionalidad verificada</t>
        </is>
      </c>
      <c r="C1" s="42" t="inlineStr">
        <is>
          <t>Fecha de verificación</t>
        </is>
      </c>
      <c r="D1" s="42" t="inlineStr">
        <is>
          <t>Resultado</t>
        </is>
      </c>
      <c r="E1" s="42" t="inlineStr">
        <is>
          <t>Evidencia (captura, registro)</t>
        </is>
      </c>
      <c r="F1" s="42" t="inlineStr">
        <is>
          <t>Responsable</t>
        </is>
      </c>
    </row>
    <row r="2">
      <c r="A2" s="43" t="inlineStr">
        <is>
          <t>Registro de pacientes</t>
        </is>
      </c>
      <c r="B2" s="43" t="inlineStr">
        <is>
          <t>Alta de un paciente nuevo con validación de campos obligatorios</t>
        </is>
      </c>
      <c r="C2" s="44" t="n">
        <v>46266</v>
      </c>
      <c r="D2" s="45" t="inlineStr">
        <is>
          <t>Implementado</t>
        </is>
      </c>
      <c r="E2" s="45" t="inlineStr">
        <is>
          <t>SIMULADO</t>
        </is>
      </c>
      <c r="F2" s="45" t="inlineStr">
        <is>
          <t>SIMULADO</t>
        </is>
      </c>
    </row>
    <row r="3">
      <c r="A3" s="43" t="inlineStr">
        <is>
          <t>Registro de pacientes</t>
        </is>
      </c>
      <c r="B3" s="43" t="inlineStr">
        <is>
          <t>Almacenamiento del registro con marca de tiempo de inicio y fin</t>
        </is>
      </c>
      <c r="C3" s="44" t="n">
        <v>46266</v>
      </c>
      <c r="D3" s="45" t="inlineStr">
        <is>
          <t>Implementado</t>
        </is>
      </c>
      <c r="E3" s="45" t="inlineStr">
        <is>
          <t>SIMULADO</t>
        </is>
      </c>
      <c r="F3" s="45" t="inlineStr">
        <is>
          <t>SIMULADO</t>
        </is>
      </c>
    </row>
    <row r="4">
      <c r="A4" s="43" t="inlineStr">
        <is>
          <t>Agendamiento y recordatorios</t>
        </is>
      </c>
      <c r="B4" s="43" t="inlineStr">
        <is>
          <t>Creación de una cita con fecha, hora y servicio</t>
        </is>
      </c>
      <c r="C4" s="44" t="n">
        <v>46266</v>
      </c>
      <c r="D4" s="45" t="inlineStr">
        <is>
          <t>Implementado</t>
        </is>
      </c>
      <c r="E4" s="45" t="inlineStr">
        <is>
          <t>SIMULADO</t>
        </is>
      </c>
      <c r="F4" s="45" t="inlineStr">
        <is>
          <t>SIMULADO</t>
        </is>
      </c>
    </row>
    <row r="5">
      <c r="A5" s="43" t="inlineStr">
        <is>
          <t>Agendamiento y recordatorios</t>
        </is>
      </c>
      <c r="B5" s="43" t="inlineStr">
        <is>
          <t>Envío automático del recordatorio al paciente</t>
        </is>
      </c>
      <c r="C5" s="44" t="n">
        <v>46266</v>
      </c>
      <c r="D5" s="45" t="inlineStr">
        <is>
          <t>Implementado</t>
        </is>
      </c>
      <c r="E5" s="45" t="inlineStr">
        <is>
          <t>SIMULADO</t>
        </is>
      </c>
      <c r="F5" s="45" t="inlineStr">
        <is>
          <t>SIMULADO</t>
        </is>
      </c>
    </row>
    <row r="6">
      <c r="A6" s="43" t="inlineStr">
        <is>
          <t>Agendamiento y recordatorios</t>
        </is>
      </c>
      <c r="B6" s="43" t="inlineStr">
        <is>
          <t>Registro de cancelación o reprogramación con aviso previo</t>
        </is>
      </c>
      <c r="C6" s="44" t="n">
        <v>46266</v>
      </c>
      <c r="D6" s="45" t="inlineStr">
        <is>
          <t>Implementado</t>
        </is>
      </c>
      <c r="E6" s="45" t="inlineStr">
        <is>
          <t>SIMULADO</t>
        </is>
      </c>
      <c r="F6" s="45" t="inlineStr">
        <is>
          <t>SIMULADO</t>
        </is>
      </c>
    </row>
    <row r="7">
      <c r="A7" s="43" t="inlineStr">
        <is>
          <t>Chatbot conversacional</t>
        </is>
      </c>
      <c r="B7" s="43" t="inlineStr">
        <is>
          <t>Respuesta a una consulta de cada categoría (citas, horarios, información institucional, requisitos, ubicación, seguimiento)</t>
        </is>
      </c>
      <c r="C7" s="44" t="n">
        <v>46266</v>
      </c>
      <c r="D7" s="45" t="inlineStr">
        <is>
          <t>Implementado</t>
        </is>
      </c>
      <c r="E7" s="45" t="inlineStr">
        <is>
          <t>SIMULADO</t>
        </is>
      </c>
      <c r="F7" s="45" t="inlineStr">
        <is>
          <t>SIMULADO</t>
        </is>
      </c>
    </row>
    <row r="8">
      <c r="A8" s="43" t="inlineStr">
        <is>
          <t>Chatbot conversacional</t>
        </is>
      </c>
      <c r="B8" s="43" t="inlineStr">
        <is>
          <t>Derivación al personal cuando la consulta no puede resolverse</t>
        </is>
      </c>
      <c r="C8" s="44" t="n">
        <v>46266</v>
      </c>
      <c r="D8" s="45" t="inlineStr">
        <is>
          <t>Implementado</t>
        </is>
      </c>
      <c r="E8" s="45" t="inlineStr">
        <is>
          <t>SIMULADO</t>
        </is>
      </c>
      <c r="F8" s="45" t="inlineStr">
        <is>
          <t>SIMULADO</t>
        </is>
      </c>
    </row>
    <row r="9">
      <c r="A9" s="43" t="inlineStr">
        <is>
          <t>Chatbot conversacional</t>
        </is>
      </c>
      <c r="B9" s="43" t="inlineStr">
        <is>
          <t>Registro de cada consulta con su categoría, resolución y derivación</t>
        </is>
      </c>
      <c r="C9" s="44" t="n">
        <v>46266</v>
      </c>
      <c r="D9" s="45" t="inlineStr">
        <is>
          <t>Implementado</t>
        </is>
      </c>
      <c r="E9" s="45" t="inlineStr">
        <is>
          <t>SIMULADO</t>
        </is>
      </c>
      <c r="F9" s="45" t="inlineStr">
        <is>
          <t>SIMULADO</t>
        </is>
      </c>
    </row>
  </sheetData>
  <dataValidations count="1">
    <dataValidation sqref="D2:D9" showDropDown="0" showInputMessage="0" showErrorMessage="0" allowBlank="1" type="list">
      <formula1>Listas!$I$2:$I$3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  <col width="26" customWidth="1" style="27" min="8" max="8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Manual</t>
        </is>
      </c>
    </row>
    <row r="3" ht="15" customHeight="1" s="27">
      <c r="A3" s="39">
        <f>IF(B3="","",ROW()-2)</f>
        <v/>
      </c>
      <c r="B3" s="50" t="n">
        <v>46237</v>
      </c>
      <c r="C3" s="40" t="inlineStr">
        <is>
          <t>SIM-14</t>
        </is>
      </c>
      <c r="D3" s="51" t="n">
        <v>0.4607986111111111</v>
      </c>
      <c r="E3" s="51" t="n">
        <v>0.465636574074074</v>
      </c>
      <c r="F3" s="52">
        <f>IF(OR(D3="",E3=""),"",(E3-D3)*1440)</f>
        <v/>
      </c>
      <c r="G3" s="53" t="inlineStr">
        <is>
          <t>Manual</t>
        </is>
      </c>
      <c r="H3" s="67">
        <f>IF(B3="","",IF(OR(C3="",D3="",E3=""),"Faltan datos",IF(COUNTIF(Pacientes!$A$2:$A$46,C3)=0,"Código no registrado",IF(F3&lt;=0,"Tiempo no válido",IF(F3&gt;60,"Revisar: más de 60 min","OK")))))</f>
        <v/>
      </c>
    </row>
    <row r="4" ht="15" customHeight="1" s="27">
      <c r="A4" s="39">
        <f>IF(B4="","",ROW()-2)</f>
        <v/>
      </c>
      <c r="B4" s="50" t="n">
        <v>46237</v>
      </c>
      <c r="C4" s="40" t="inlineStr">
        <is>
          <t>SIM-19</t>
        </is>
      </c>
      <c r="D4" s="51" t="n">
        <v>0.4084375</v>
      </c>
      <c r="E4" s="51" t="n">
        <v>0.4133564814814815</v>
      </c>
      <c r="F4" s="52">
        <f>IF(OR(D4="",E4=""),"",(E4-D4)*1440)</f>
        <v/>
      </c>
      <c r="G4" s="53" t="inlineStr">
        <is>
          <t>Manual</t>
        </is>
      </c>
      <c r="H4" s="67">
        <f>IF(B4="","",IF(OR(C4="",D4="",E4=""),"Faltan datos",IF(COUNTIF(Pacientes!$A$2:$A$46,C4)=0,"Código no registrado",IF(F4&lt;=0,"Tiempo no válido",IF(F4&gt;60,"Revisar: más de 60 min","OK")))))</f>
        <v/>
      </c>
    </row>
    <row r="5" ht="15" customHeight="1" s="27">
      <c r="A5" s="39">
        <f>IF(B5="","",ROW()-2)</f>
        <v/>
      </c>
      <c r="B5" s="50" t="n">
        <v>46239</v>
      </c>
      <c r="C5" s="40" t="inlineStr">
        <is>
          <t>SIM-24</t>
        </is>
      </c>
      <c r="D5" s="51" t="n">
        <v>0.4383333333333334</v>
      </c>
      <c r="E5" s="51" t="n">
        <v>0.4438194444444444</v>
      </c>
      <c r="F5" s="52">
        <f>IF(OR(D5="",E5=""),"",(E5-D5)*1440)</f>
        <v/>
      </c>
      <c r="G5" s="53" t="inlineStr">
        <is>
          <t>Manual</t>
        </is>
      </c>
      <c r="H5" s="67">
        <f>IF(B5="","",IF(OR(C5="",D5="",E5=""),"Faltan datos",IF(COUNTIF(Pacientes!$A$2:$A$46,C5)=0,"Código no registrado",IF(F5&lt;=0,"Tiempo no válido",IF(F5&gt;60,"Revisar: más de 60 min","OK")))))</f>
        <v/>
      </c>
    </row>
    <row r="6" ht="15" customHeight="1" s="27">
      <c r="A6" s="39">
        <f>IF(B6="","",ROW()-2)</f>
        <v/>
      </c>
      <c r="B6" s="50" t="n">
        <v>46239</v>
      </c>
      <c r="C6" s="40" t="inlineStr">
        <is>
          <t>SIM-01</t>
        </is>
      </c>
      <c r="D6" s="51" t="n">
        <v>0.4699537037037037</v>
      </c>
      <c r="E6" s="51" t="n">
        <v>0.4767013888888889</v>
      </c>
      <c r="F6" s="52">
        <f>IF(OR(D6="",E6=""),"",(E6-D6)*1440)</f>
        <v/>
      </c>
      <c r="G6" s="53" t="inlineStr">
        <is>
          <t>Manual</t>
        </is>
      </c>
      <c r="H6" s="67">
        <f>IF(B6="","",IF(OR(C6="",D6="",E6=""),"Faltan datos",IF(COUNTIF(Pacientes!$A$2:$A$46,C6)=0,"Código no registrado",IF(F6&lt;=0,"Tiempo no válido",IF(F6&gt;60,"Revisar: más de 60 min","OK")))))</f>
        <v/>
      </c>
    </row>
    <row r="7" ht="15" customHeight="1" s="27">
      <c r="A7" s="39">
        <f>IF(B7="","",ROW()-2)</f>
        <v/>
      </c>
      <c r="B7" s="50" t="n">
        <v>46241</v>
      </c>
      <c r="C7" s="40" t="inlineStr">
        <is>
          <t>SIM-14</t>
        </is>
      </c>
      <c r="D7" s="51" t="n">
        <v>0.3677893518518519</v>
      </c>
      <c r="E7" s="51" t="n">
        <v>0.3730787037037037</v>
      </c>
      <c r="F7" s="52">
        <f>IF(OR(D7="",E7=""),"",(E7-D7)*1440)</f>
        <v/>
      </c>
      <c r="G7" s="53" t="inlineStr">
        <is>
          <t>Manual</t>
        </is>
      </c>
      <c r="H7" s="67">
        <f>IF(B7="","",IF(OR(C7="",D7="",E7=""),"Faltan datos",IF(COUNTIF(Pacientes!$A$2:$A$46,C7)=0,"Código no registrado",IF(F7&lt;=0,"Tiempo no válido",IF(F7&gt;60,"Revisar: más de 60 min","OK")))))</f>
        <v/>
      </c>
    </row>
    <row r="8" ht="15" customHeight="1" s="27">
      <c r="A8" s="39">
        <f>IF(B8="","",ROW()-2)</f>
        <v/>
      </c>
      <c r="B8" s="50" t="n">
        <v>46244</v>
      </c>
      <c r="C8" s="40" t="inlineStr">
        <is>
          <t>SIM-30</t>
        </is>
      </c>
      <c r="D8" s="51" t="n">
        <v>0.4064004629629629</v>
      </c>
      <c r="E8" s="51" t="n">
        <v>0.4101736111111111</v>
      </c>
      <c r="F8" s="52">
        <f>IF(OR(D8="",E8=""),"",(E8-D8)*1440)</f>
        <v/>
      </c>
      <c r="G8" s="53" t="inlineStr">
        <is>
          <t>Manual</t>
        </is>
      </c>
      <c r="H8" s="67">
        <f>IF(B8="","",IF(OR(C8="",D8="",E8=""),"Faltan datos",IF(COUNTIF(Pacientes!$A$2:$A$46,C8)=0,"Código no registrado",IF(F8&lt;=0,"Tiempo no válido",IF(F8&gt;60,"Revisar: más de 60 min","OK")))))</f>
        <v/>
      </c>
    </row>
    <row r="9" ht="15" customHeight="1" s="27">
      <c r="A9" s="39">
        <f>IF(B9="","",ROW()-2)</f>
        <v/>
      </c>
      <c r="B9" s="50" t="n">
        <v>46248</v>
      </c>
      <c r="C9" s="40" t="inlineStr">
        <is>
          <t>SIM-29</t>
        </is>
      </c>
      <c r="D9" s="51" t="n">
        <v>0.4670717592592593</v>
      </c>
      <c r="E9" s="51" t="n">
        <v>0.4712037037037037</v>
      </c>
      <c r="F9" s="52">
        <f>IF(OR(D9="",E9=""),"",(E9-D9)*1440)</f>
        <v/>
      </c>
      <c r="G9" s="53" t="inlineStr">
        <is>
          <t>Manual</t>
        </is>
      </c>
      <c r="H9" s="67">
        <f>IF(B9="","",IF(OR(C9="",D9="",E9=""),"Faltan datos",IF(COUNTIF(Pacientes!$A$2:$A$46,C9)=0,"Código no registrado",IF(F9&lt;=0,"Tiempo no válido",IF(F9&gt;60,"Revisar: más de 60 min","OK")))))</f>
        <v/>
      </c>
    </row>
    <row r="10" ht="15" customHeight="1" s="27">
      <c r="A10" s="39">
        <f>IF(B10="","",ROW()-2)</f>
        <v/>
      </c>
      <c r="B10" s="50" t="n">
        <v>46248</v>
      </c>
      <c r="C10" s="40" t="inlineStr">
        <is>
          <t>SIM-27</t>
        </is>
      </c>
      <c r="D10" s="51" t="n">
        <v>0.4447106481481481</v>
      </c>
      <c r="E10" s="51" t="n">
        <v>0.4497453703703704</v>
      </c>
      <c r="F10" s="52">
        <f>IF(OR(D10="",E10=""),"",(E10-D10)*1440)</f>
        <v/>
      </c>
      <c r="G10" s="53" t="inlineStr">
        <is>
          <t>Manual</t>
        </is>
      </c>
      <c r="H10" s="67">
        <f>IF(B10="","",IF(OR(C10="",D10="",E10=""),"Faltan datos",IF(COUNTIF(Pacientes!$A$2:$A$46,C10)=0,"Código no registrado",IF(F10&lt;=0,"Tiempo no válido",IF(F10&gt;60,"Revisar: más de 60 min","OK")))))</f>
        <v/>
      </c>
    </row>
    <row r="11" ht="15" customHeight="1" s="27">
      <c r="A11" s="39">
        <f>IF(B11="","",ROW()-2)</f>
        <v/>
      </c>
      <c r="B11" s="50" t="n">
        <v>46251</v>
      </c>
      <c r="C11" s="40" t="inlineStr">
        <is>
          <t>SIM-04</t>
        </is>
      </c>
      <c r="D11" s="51" t="n">
        <v>0.3975810185185185</v>
      </c>
      <c r="E11" s="51" t="n">
        <v>0.4046180555555556</v>
      </c>
      <c r="F11" s="52">
        <f>IF(OR(D11="",E11=""),"",(E11-D11)*1440)</f>
        <v/>
      </c>
      <c r="G11" s="53" t="inlineStr">
        <is>
          <t>Manual</t>
        </is>
      </c>
      <c r="H11" s="67">
        <f>IF(B11="","",IF(OR(C11="",D11="",E11=""),"Faltan datos",IF(COUNTIF(Pacientes!$A$2:$A$46,C11)=0,"Código no registrado",IF(F11&lt;=0,"Tiempo no válido",IF(F11&gt;60,"Revisar: más de 60 min","OK")))))</f>
        <v/>
      </c>
    </row>
    <row r="12" ht="15" customHeight="1" s="27">
      <c r="A12" s="39">
        <f>IF(B12="","",ROW()-2)</f>
        <v/>
      </c>
      <c r="B12" s="50" t="n">
        <v>46253</v>
      </c>
      <c r="C12" s="40" t="inlineStr">
        <is>
          <t>SIM-21</t>
        </is>
      </c>
      <c r="D12" s="51" t="n">
        <v>0.3560416666666666</v>
      </c>
      <c r="E12" s="51" t="n">
        <v>0.3649421296296296</v>
      </c>
      <c r="F12" s="52">
        <f>IF(OR(D12="",E12=""),"",(E12-D12)*1440)</f>
        <v/>
      </c>
      <c r="G12" s="53" t="inlineStr">
        <is>
          <t>Manual</t>
        </is>
      </c>
      <c r="H12" s="67">
        <f>IF(B12="","",IF(OR(C12="",D12="",E12=""),"Faltan datos",IF(COUNTIF(Pacientes!$A$2:$A$46,C12)=0,"Código no registrado",IF(F12&lt;=0,"Tiempo no válido",IF(F12&gt;60,"Revisar: más de 60 min","OK")))))</f>
        <v/>
      </c>
    </row>
    <row r="13" ht="15" customHeight="1" s="27">
      <c r="A13" s="39">
        <f>IF(B13="","",ROW()-2)</f>
        <v/>
      </c>
      <c r="B13" s="50" t="n">
        <v>46255</v>
      </c>
      <c r="C13" s="40" t="inlineStr">
        <is>
          <t>SIM-08</t>
        </is>
      </c>
      <c r="D13" s="51" t="n">
        <v>0.4880902777777778</v>
      </c>
      <c r="E13" s="51" t="n">
        <v>0.4949884259259259</v>
      </c>
      <c r="F13" s="52">
        <f>IF(OR(D13="",E13=""),"",(E13-D13)*1440)</f>
        <v/>
      </c>
      <c r="G13" s="53" t="inlineStr">
        <is>
          <t>Manual</t>
        </is>
      </c>
      <c r="H13" s="67">
        <f>IF(B13="","",IF(OR(C13="",D13="",E13=""),"Faltan datos",IF(COUNTIF(Pacientes!$A$2:$A$46,C13)=0,"Código no registrado",IF(F13&lt;=0,"Tiempo no válido",IF(F13&gt;60,"Revisar: más de 60 min","OK")))))</f>
        <v/>
      </c>
    </row>
    <row r="14" ht="15" customHeight="1" s="27">
      <c r="A14" s="39">
        <f>IF(B14="","",ROW()-2)</f>
        <v/>
      </c>
      <c r="B14" s="50" t="n">
        <v>46255</v>
      </c>
      <c r="C14" s="40" t="inlineStr">
        <is>
          <t>SIM-29</t>
        </is>
      </c>
      <c r="D14" s="51" t="n">
        <v>0.4690393518518519</v>
      </c>
      <c r="E14" s="51" t="n">
        <v>0.4749421296296296</v>
      </c>
      <c r="F14" s="52">
        <f>IF(OR(D14="",E14=""),"",(E14-D14)*1440)</f>
        <v/>
      </c>
      <c r="G14" s="53" t="inlineStr">
        <is>
          <t>Manual</t>
        </is>
      </c>
      <c r="H14" s="67">
        <f>IF(B14="","",IF(OR(C14="",D14="",E14=""),"Faltan datos",IF(COUNTIF(Pacientes!$A$2:$A$46,C14)=0,"Código no registrado",IF(F14&lt;=0,"Tiempo no válido",IF(F14&gt;60,"Revisar: más de 60 min","OK")))))</f>
        <v/>
      </c>
    </row>
    <row r="15" ht="15" customHeight="1" s="27">
      <c r="A15" s="39">
        <f>IF(B15="","",ROW()-2)</f>
        <v/>
      </c>
      <c r="B15" s="50" t="n">
        <v>46255</v>
      </c>
      <c r="C15" s="40" t="inlineStr">
        <is>
          <t>SIM-24</t>
        </is>
      </c>
      <c r="D15" s="51" t="n">
        <v>0.4503587962962963</v>
      </c>
      <c r="E15" s="51" t="n">
        <v>0.4577777777777778</v>
      </c>
      <c r="F15" s="52">
        <f>IF(OR(D15="",E15=""),"",(E15-D15)*1440)</f>
        <v/>
      </c>
      <c r="G15" s="53" t="inlineStr">
        <is>
          <t>Manual</t>
        </is>
      </c>
      <c r="H15" s="67">
        <f>IF(B15="","",IF(OR(C15="",D15="",E15=""),"Faltan datos",IF(COUNTIF(Pacientes!$A$2:$A$46,C15)=0,"Código no registrado",IF(F15&lt;=0,"Tiempo no válido",IF(F15&gt;60,"Revisar: más de 60 min","OK")))))</f>
        <v/>
      </c>
    </row>
    <row r="16" ht="15" customHeight="1" s="27">
      <c r="A16" s="39">
        <f>IF(B16="","",ROW()-2)</f>
        <v/>
      </c>
      <c r="B16" s="50" t="n">
        <v>46258</v>
      </c>
      <c r="C16" s="40" t="inlineStr">
        <is>
          <t>SIM-28</t>
        </is>
      </c>
      <c r="D16" s="51" t="n">
        <v>0.4729050925925926</v>
      </c>
      <c r="E16" s="51" t="n">
        <v>0.4793634259259259</v>
      </c>
      <c r="F16" s="52">
        <f>IF(OR(D16="",E16=""),"",(E16-D16)*1440)</f>
        <v/>
      </c>
      <c r="G16" s="53" t="inlineStr">
        <is>
          <t>Manual</t>
        </is>
      </c>
      <c r="H16" s="67">
        <f>IF(B16="","",IF(OR(C16="",D16="",E16=""),"Faltan datos",IF(COUNTIF(Pacientes!$A$2:$A$46,C16)=0,"Código no registrado",IF(F16&lt;=0,"Tiempo no válido",IF(F16&gt;60,"Revisar: más de 60 min","OK")))))</f>
        <v/>
      </c>
    </row>
    <row r="17" ht="15" customHeight="1" s="27">
      <c r="A17" s="39">
        <f>IF(B17="","",ROW()-2)</f>
        <v/>
      </c>
      <c r="B17" s="50" t="n">
        <v>46260</v>
      </c>
      <c r="C17" s="40" t="inlineStr">
        <is>
          <t>SIM-11</t>
        </is>
      </c>
      <c r="D17" s="51" t="n">
        <v>0.442650462962963</v>
      </c>
      <c r="E17" s="51" t="n">
        <v>0.4455092592592593</v>
      </c>
      <c r="F17" s="52">
        <f>IF(OR(D17="",E17=""),"",(E17-D17)*1440)</f>
        <v/>
      </c>
      <c r="G17" s="53" t="inlineStr">
        <is>
          <t>Manual</t>
        </is>
      </c>
      <c r="H17" s="67">
        <f>IF(B17="","",IF(OR(C17="",D17="",E17=""),"Faltan datos",IF(COUNTIF(Pacientes!$A$2:$A$46,C17)=0,"Código no registrado",IF(F17&lt;=0,"Tiempo no válido",IF(F17&gt;60,"Revisar: más de 60 min","OK")))))</f>
        <v/>
      </c>
    </row>
    <row r="18" ht="15" customHeight="1" s="27">
      <c r="A18" s="39">
        <f>IF(B18="","",ROW()-2)</f>
        <v/>
      </c>
      <c r="B18" s="50" t="n">
        <v>46260</v>
      </c>
      <c r="C18" s="40" t="inlineStr">
        <is>
          <t>SIM-19</t>
        </is>
      </c>
      <c r="D18" s="51" t="n">
        <v>0.4010185185185185</v>
      </c>
      <c r="E18" s="51" t="n">
        <v>0.4066550925925926</v>
      </c>
      <c r="F18" s="52">
        <f>IF(OR(D18="",E18=""),"",(E18-D18)*1440)</f>
        <v/>
      </c>
      <c r="G18" s="53" t="inlineStr">
        <is>
          <t>Manual</t>
        </is>
      </c>
      <c r="H18" s="67">
        <f>IF(B18="","",IF(OR(C18="",D18="",E18=""),"Faltan datos",IF(COUNTIF(Pacientes!$A$2:$A$46,C18)=0,"Código no registrado",IF(F18&lt;=0,"Tiempo no válido",IF(F18&gt;60,"Revisar: más de 60 min","OK")))))</f>
        <v/>
      </c>
    </row>
    <row r="19" ht="15" customHeight="1" s="27">
      <c r="A19" s="39">
        <f>IF(B19="","",ROW()-2)</f>
        <v/>
      </c>
      <c r="B19" s="50" t="n">
        <v>46260</v>
      </c>
      <c r="C19" s="40" t="inlineStr">
        <is>
          <t>SIM-25</t>
        </is>
      </c>
      <c r="D19" s="51" t="n">
        <v>0.4034722222222222</v>
      </c>
      <c r="E19" s="51" t="n">
        <v>0.4100694444444444</v>
      </c>
      <c r="F19" s="52">
        <f>IF(OR(D19="",E19=""),"",(E19-D19)*1440)</f>
        <v/>
      </c>
      <c r="G19" s="53" t="inlineStr">
        <is>
          <t>Manual</t>
        </is>
      </c>
      <c r="H19" s="67">
        <f>IF(B19="","",IF(OR(C19="",D19="",E19=""),"Faltan datos",IF(COUNTIF(Pacientes!$A$2:$A$46,C19)=0,"Código no registrado",IF(F19&lt;=0,"Tiempo no válido",IF(F19&gt;60,"Revisar: más de 60 min","OK")))))</f>
        <v/>
      </c>
    </row>
    <row r="20" ht="15" customHeight="1" s="27">
      <c r="A20" s="39">
        <f>IF(B20="","",ROW()-2)</f>
        <v/>
      </c>
      <c r="B20" s="50" t="n">
        <v>46262</v>
      </c>
      <c r="C20" s="40" t="inlineStr">
        <is>
          <t>SIM-04</t>
        </is>
      </c>
      <c r="D20" s="51" t="n">
        <v>0.366400462962963</v>
      </c>
      <c r="E20" s="51" t="n">
        <v>0.37125</v>
      </c>
      <c r="F20" s="52">
        <f>IF(OR(D20="",E20=""),"",(E20-D20)*1440)</f>
        <v/>
      </c>
      <c r="G20" s="53" t="inlineStr">
        <is>
          <t>Manual</t>
        </is>
      </c>
      <c r="H20" s="67">
        <f>IF(B20="","",IF(OR(C20="",D20="",E20=""),"Faltan datos",IF(COUNTIF(Pacientes!$A$2:$A$46,C20)=0,"Código no registrado",IF(F20&lt;=0,"Tiempo no válido",IF(F20&gt;60,"Revisar: más de 60 min","OK")))))</f>
        <v/>
      </c>
    </row>
    <row r="21" ht="15" customHeight="1" s="27">
      <c r="A21" s="39">
        <f>IF(B21="","",ROW()-2)</f>
        <v/>
      </c>
      <c r="B21" s="50" t="n">
        <v>46265</v>
      </c>
      <c r="C21" s="40" t="inlineStr">
        <is>
          <t>SIM-23</t>
        </is>
      </c>
      <c r="D21" s="51" t="n">
        <v>0.4503472222222222</v>
      </c>
      <c r="E21" s="51" t="n">
        <v>0.4565509259259259</v>
      </c>
      <c r="F21" s="52">
        <f>IF(OR(D21="",E21=""),"",(E21-D21)*1440)</f>
        <v/>
      </c>
      <c r="G21" s="53" t="inlineStr">
        <is>
          <t>Manual</t>
        </is>
      </c>
      <c r="H21" s="67">
        <f>IF(B21="","",IF(OR(C21="",D21="",E21=""),"Faltan datos",IF(COUNTIF(Pacientes!$A$2:$A$46,C21)=0,"Código no registrado",IF(F21&lt;=0,"Tiempo no válido",IF(F21&gt;60,"Revisar: más de 60 min","OK")))))</f>
        <v/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Manual</t>
        </is>
      </c>
      <c r="H22" s="67">
        <f>IF(B22="","",IF(OR(C22="",D22="",E22=""),"Faltan datos",IF(COUNTIF(Pacientes!$A$2:$A$46,C22)=0,"Código no registrado",IF(F22&lt;=0,"Tiempo no válido",IF(F22&gt;60,"Revisar: más de 60 min","OK")))))</f>
        <v/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Manual</t>
        </is>
      </c>
      <c r="H23" s="67">
        <f>IF(B23="","",IF(OR(C23="",D23="",E23=""),"Faltan datos",IF(COUNTIF(Pacientes!$A$2:$A$46,C23)=0,"Código no registrado",IF(F23&lt;=0,"Tiempo no válido",IF(F23&gt;60,"Revisar: más de 60 min","OK")))))</f>
        <v/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Manual</t>
        </is>
      </c>
      <c r="H24" s="67">
        <f>IF(B24="","",IF(OR(C24="",D24="",E24=""),"Faltan datos",IF(COUNTIF(Pacientes!$A$2:$A$46,C24)=0,"Código no registrado",IF(F24&lt;=0,"Tiempo no válido",IF(F24&gt;60,"Revisar: más de 60 min","OK")))))</f>
        <v/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Manual</t>
        </is>
      </c>
      <c r="H25" s="67">
        <f>IF(B25="","",IF(OR(C25="",D25="",E25=""),"Faltan datos",IF(COUNTIF(Pacientes!$A$2:$A$46,C25)=0,"Código no registrado",IF(F25&lt;=0,"Tiempo no válido",IF(F25&gt;60,"Revisar: más de 60 min","OK")))))</f>
        <v/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Manual</t>
        </is>
      </c>
      <c r="H26" s="67">
        <f>IF(B26="","",IF(OR(C26="",D26="",E26=""),"Faltan datos",IF(COUNTIF(Pacientes!$A$2:$A$46,C26)=0,"Código no registrado",IF(F26&lt;=0,"Tiempo no válido",IF(F26&gt;60,"Revisar: más de 60 min","OK")))))</f>
        <v/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Manual</t>
        </is>
      </c>
      <c r="H27" s="67">
        <f>IF(B27="","",IF(OR(C27="",D27="",E27=""),"Faltan datos",IF(COUNTIF(Pacientes!$A$2:$A$46,C27)=0,"Código no registrado",IF(F27&lt;=0,"Tiempo no válido",IF(F27&gt;60,"Revisar: más de 60 min","OK")))))</f>
        <v/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Manual</t>
        </is>
      </c>
      <c r="H28" s="67">
        <f>IF(B28="","",IF(OR(C28="",D28="",E28=""),"Faltan datos",IF(COUNTIF(Pacientes!$A$2:$A$46,C28)=0,"Código no registrado",IF(F28&lt;=0,"Tiempo no válido",IF(F28&gt;60,"Revisar: más de 60 min","OK")))))</f>
        <v/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Manual</t>
        </is>
      </c>
      <c r="H29" s="67">
        <f>IF(B29="","",IF(OR(C29="",D29="",E29=""),"Faltan datos",IF(COUNTIF(Pacientes!$A$2:$A$46,C29)=0,"Código no registrado",IF(F29&lt;=0,"Tiempo no válido",IF(F29&gt;60,"Revisar: más de 60 min","OK")))))</f>
        <v/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Manual</t>
        </is>
      </c>
      <c r="H30" s="67">
        <f>IF(B30="","",IF(OR(C30="",D30="",E30=""),"Faltan datos",IF(COUNTIF(Pacientes!$A$2:$A$46,C30)=0,"Código no registrado",IF(F30&lt;=0,"Tiempo no válido",IF(F30&gt;60,"Revisar: más de 60 min","OK")))))</f>
        <v/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Manual</t>
        </is>
      </c>
      <c r="H31" s="67">
        <f>IF(B31="","",IF(OR(C31="",D31="",E31=""),"Faltan datos",IF(COUNTIF(Pacientes!$A$2:$A$46,C31)=0,"Código no registrado",IF(F31&lt;=0,"Tiempo no válido",IF(F31&gt;60,"Revisar: más de 60 min","OK")))))</f>
        <v/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Manual</t>
        </is>
      </c>
      <c r="H32" s="67">
        <f>IF(B32="","",IF(OR(C32="",D32="",E32=""),"Faltan datos",IF(COUNTIF(Pacientes!$A$2:$A$46,C32)=0,"Código no registrado",IF(F32&lt;=0,"Tiempo no válido",IF(F32&gt;60,"Revisar: más de 60 min","OK")))))</f>
        <v/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Manual</t>
        </is>
      </c>
      <c r="H33" s="67">
        <f>IF(B33="","",IF(OR(C33="",D33="",E33=""),"Faltan datos",IF(COUNTIF(Pacientes!$A$2:$A$46,C33)=0,"Código no registrado",IF(F33&lt;=0,"Tiempo no válido",IF(F33&gt;60,"Revisar: más de 60 min","OK")))))</f>
        <v/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Manual</t>
        </is>
      </c>
      <c r="H34" s="67">
        <f>IF(B34="","",IF(OR(C34="",D34="",E34=""),"Faltan datos",IF(COUNTIF(Pacientes!$A$2:$A$46,C34)=0,"Código no registrado",IF(F34&lt;=0,"Tiempo no válido",IF(F34&gt;60,"Revisar: más de 60 min","OK")))))</f>
        <v/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Manual</t>
        </is>
      </c>
      <c r="H35" s="67">
        <f>IF(B35="","",IF(OR(C35="",D35="",E35=""),"Faltan datos",IF(COUNTIF(Pacientes!$A$2:$A$46,C35)=0,"Código no registrado",IF(F35&lt;=0,"Tiempo no válido",IF(F35&gt;60,"Revisar: más de 60 min","OK")))))</f>
        <v/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Manual</t>
        </is>
      </c>
      <c r="H36" s="67">
        <f>IF(B36="","",IF(OR(C36="",D36="",E36=""),"Faltan datos",IF(COUNTIF(Pacientes!$A$2:$A$46,C36)=0,"Código no registrado",IF(F36&lt;=0,"Tiempo no válido",IF(F36&gt;60,"Revisar: más de 60 min","OK")))))</f>
        <v/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Manual</t>
        </is>
      </c>
      <c r="H37" s="67">
        <f>IF(B37="","",IF(OR(C37="",D37="",E37=""),"Faltan datos",IF(COUNTIF(Pacientes!$A$2:$A$46,C37)=0,"Código no registrado",IF(F37&lt;=0,"Tiempo no válido",IF(F37&gt;60,"Revisar: más de 60 min","OK")))))</f>
        <v/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Manual</t>
        </is>
      </c>
      <c r="H38" s="67">
        <f>IF(B38="","",IF(OR(C38="",D38="",E38=""),"Faltan datos",IF(COUNTIF(Pacientes!$A$2:$A$46,C38)=0,"Código no registrado",IF(F38&lt;=0,"Tiempo no válido",IF(F38&gt;60,"Revisar: más de 60 min","OK")))))</f>
        <v/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Manual</t>
        </is>
      </c>
      <c r="H39" s="67">
        <f>IF(B39="","",IF(OR(C39="",D39="",E39=""),"Faltan datos",IF(COUNTIF(Pacientes!$A$2:$A$46,C39)=0,"Código no registrado",IF(F39&lt;=0,"Tiempo no válido",IF(F39&gt;60,"Revisar: más de 60 min","OK")))))</f>
        <v/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Manual</t>
        </is>
      </c>
      <c r="H40" s="67">
        <f>IF(B40="","",IF(OR(C40="",D40="",E40=""),"Faltan datos",IF(COUNTIF(Pacientes!$A$2:$A$46,C40)=0,"Código no registrado",IF(F40&lt;=0,"Tiempo no válido",IF(F40&gt;60,"Revisar: más de 60 min","OK")))))</f>
        <v/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Manual</t>
        </is>
      </c>
      <c r="H41" s="67">
        <f>IF(B41="","",IF(OR(C41="",D41="",E41=""),"Faltan datos",IF(COUNTIF(Pacientes!$A$2:$A$46,C41)=0,"Código no registrado",IF(F41&lt;=0,"Tiempo no válido",IF(F41&gt;60,"Revisar: más de 60 min","OK")))))</f>
        <v/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Manual</t>
        </is>
      </c>
      <c r="H42" s="67">
        <f>IF(B42="","",IF(OR(C42="",D42="",E42=""),"Faltan datos",IF(COUNTIF(Pacientes!$A$2:$A$46,C42)=0,"Código no registrado",IF(F42&lt;=0,"Tiempo no válido",IF(F42&gt;60,"Revisar: más de 60 min","OK")))))</f>
        <v/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Manual</t>
        </is>
      </c>
      <c r="H43" s="67">
        <f>IF(B43="","",IF(OR(C43="",D43="",E43=""),"Faltan datos",IF(COUNTIF(Pacientes!$A$2:$A$46,C43)=0,"Código no registrado",IF(F43&lt;=0,"Tiempo no válido",IF(F43&gt;60,"Revisar: más de 60 min","OK")))))</f>
        <v/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Manual</t>
        </is>
      </c>
      <c r="H44" s="67">
        <f>IF(B44="","",IF(OR(C44="",D44="",E44=""),"Faltan datos",IF(COUNTIF(Pacientes!$A$2:$A$46,C44)=0,"Código no registrado",IF(F44&lt;=0,"Tiempo no válido",IF(F44&gt;60,"Revisar: más de 60 min","OK")))))</f>
        <v/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Manual</t>
        </is>
      </c>
      <c r="H45" s="67">
        <f>IF(B45="","",IF(OR(C45="",D45="",E45=""),"Faltan datos",IF(COUNTIF(Pacientes!$A$2:$A$46,C45)=0,"Código no registrado",IF(F45&lt;=0,"Tiempo no válido",IF(F45&gt;60,"Revisar: más de 60 min","OK")))))</f>
        <v/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Manual</t>
        </is>
      </c>
      <c r="H46" s="67">
        <f>IF(B46="","",IF(OR(C46="",D46="",E46=""),"Faltan datos",IF(COUNTIF(Pacientes!$A$2:$A$46,C46)=0,"Código no registrado",IF(F46&lt;=0,"Tiempo no válido",IF(F46&gt;60,"Revisar: más de 60 min","OK")))))</f>
        <v/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Manual</t>
        </is>
      </c>
      <c r="H47" s="67">
        <f>IF(B47="","",IF(OR(C47="",D47="",E47=""),"Faltan datos",IF(COUNTIF(Pacientes!$A$2:$A$46,C47)=0,"Código no registrado",IF(F47&lt;=0,"Tiempo no válido",IF(F47&gt;60,"Revisar: más de 60 min","OK")))))</f>
        <v/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Manual</t>
        </is>
      </c>
      <c r="H48" s="67">
        <f>IF(B48="","",IF(OR(C48="",D48="",E48=""),"Faltan datos",IF(COUNTIF(Pacientes!$A$2:$A$46,C48)=0,"Código no registrado",IF(F48&lt;=0,"Tiempo no válido",IF(F48&gt;60,"Revisar: más de 60 min","OK")))))</f>
        <v/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Manual</t>
        </is>
      </c>
      <c r="H49" s="67">
        <f>IF(B49="","",IF(OR(C49="",D49="",E49=""),"Faltan datos",IF(COUNTIF(Pacientes!$A$2:$A$46,C49)=0,"Código no registrado",IF(F49&lt;=0,"Tiempo no válido",IF(F49&gt;60,"Revisar: más de 60 min","OK")))))</f>
        <v/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Manual</t>
        </is>
      </c>
      <c r="H50" s="67">
        <f>IF(B50="","",IF(OR(C50="",D50="",E50=""),"Faltan datos",IF(COUNTIF(Pacientes!$A$2:$A$46,C50)=0,"Código no registrado",IF(F50&lt;=0,"Tiempo no válido",IF(F50&gt;60,"Revisar: más de 60 min","OK")))))</f>
        <v/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Manual</t>
        </is>
      </c>
      <c r="H51" s="67">
        <f>IF(B51="","",IF(OR(C51="",D51="",E51=""),"Faltan datos",IF(COUNTIF(Pacientes!$A$2:$A$46,C51)=0,"Código no registrado",IF(F51&lt;=0,"Tiempo no válido",IF(F51&gt;60,"Revisar: más de 60 min","OK")))))</f>
        <v/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Manual</t>
        </is>
      </c>
      <c r="H52" s="67">
        <f>IF(B52="","",IF(OR(C52="",D52="",E52=""),"Faltan datos",IF(COUNTIF(Pacientes!$A$2:$A$46,C52)=0,"Código no registrado",IF(F52&lt;=0,"Tiempo no válido",IF(F52&gt;60,"Revisar: más de 60 min","OK")))))</f>
        <v/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Manual</t>
        </is>
      </c>
      <c r="H53" s="67">
        <f>IF(B53="","",IF(OR(C53="",D53="",E53=""),"Faltan datos",IF(COUNTIF(Pacientes!$A$2:$A$46,C53)=0,"Código no registrado",IF(F53&lt;=0,"Tiempo no válido",IF(F53&gt;60,"Revisar: más de 60 min","OK")))))</f>
        <v/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Manual</t>
        </is>
      </c>
      <c r="H54" s="67">
        <f>IF(B54="","",IF(OR(C54="",D54="",E54=""),"Faltan datos",IF(COUNTIF(Pacientes!$A$2:$A$46,C54)=0,"Código no registrado",IF(F54&lt;=0,"Tiempo no válido",IF(F54&gt;60,"Revisar: más de 60 min","OK")))))</f>
        <v/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Manual</t>
        </is>
      </c>
      <c r="H55" s="67">
        <f>IF(B55="","",IF(OR(C55="",D55="",E55=""),"Faltan datos",IF(COUNTIF(Pacientes!$A$2:$A$46,C55)=0,"Código no registrado",IF(F55&lt;=0,"Tiempo no válido",IF(F55&gt;60,"Revisar: más de 60 min","OK")))))</f>
        <v/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Manual</t>
        </is>
      </c>
      <c r="H56" s="67">
        <f>IF(B56="","",IF(OR(C56="",D56="",E56=""),"Faltan datos",IF(COUNTIF(Pacientes!$A$2:$A$46,C56)=0,"Código no registrado",IF(F56&lt;=0,"Tiempo no válido",IF(F56&gt;60,"Revisar: más de 60 min","OK")))))</f>
        <v/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Manual</t>
        </is>
      </c>
      <c r="H57" s="67">
        <f>IF(B57="","",IF(OR(C57="",D57="",E57=""),"Faltan datos",IF(COUNTIF(Pacientes!$A$2:$A$46,C57)=0,"Código no registrado",IF(F57&lt;=0,"Tiempo no válido",IF(F57&gt;60,"Revisar: más de 60 min","OK")))))</f>
        <v/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Manual</t>
        </is>
      </c>
      <c r="H58" s="67">
        <f>IF(B58="","",IF(OR(C58="",D58="",E58=""),"Faltan datos",IF(COUNTIF(Pacientes!$A$2:$A$46,C58)=0,"Código no registrado",IF(F58&lt;=0,"Tiempo no válido",IF(F58&gt;60,"Revisar: más de 60 min","OK")))))</f>
        <v/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Manual</t>
        </is>
      </c>
      <c r="H59" s="67">
        <f>IF(B59="","",IF(OR(C59="",D59="",E59=""),"Faltan datos",IF(COUNTIF(Pacientes!$A$2:$A$46,C59)=0,"Código no registrado",IF(F59&lt;=0,"Tiempo no válido",IF(F59&gt;60,"Revisar: más de 60 min","OK")))))</f>
        <v/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Manual</t>
        </is>
      </c>
      <c r="H60" s="67">
        <f>IF(B60="","",IF(OR(C60="",D60="",E60=""),"Faltan datos",IF(COUNTIF(Pacientes!$A$2:$A$46,C60)=0,"Código no registrado",IF(F60&lt;=0,"Tiempo no válido",IF(F60&gt;60,"Revisar: más de 60 min","OK")))))</f>
        <v/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Manual</t>
        </is>
      </c>
      <c r="H61" s="67">
        <f>IF(B61="","",IF(OR(C61="",D61="",E61=""),"Faltan datos",IF(COUNTIF(Pacientes!$A$2:$A$46,C61)=0,"Código no registrado",IF(F61&lt;=0,"Tiempo no válido",IF(F61&gt;60,"Revisar: más de 60 min","OK")))))</f>
        <v/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Manual</t>
        </is>
      </c>
      <c r="H62" s="67">
        <f>IF(B62="","",IF(OR(C62="",D62="",E62=""),"Faltan datos",IF(COUNTIF(Pacientes!$A$2:$A$46,C62)=0,"Código no registrado",IF(F62&lt;=0,"Tiempo no válido",IF(F62&gt;60,"Revisar: más de 60 min","OK")))))</f>
        <v/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Manual</t>
        </is>
      </c>
      <c r="H63" s="67">
        <f>IF(B63="","",IF(OR(C63="",D63="",E63=""),"Faltan datos",IF(COUNTIF(Pacientes!$A$2:$A$46,C63)=0,"Código no registrado",IF(F63&lt;=0,"Tiempo no válido",IF(F63&gt;60,"Revisar: más de 60 min","OK")))))</f>
        <v/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Manual</t>
        </is>
      </c>
      <c r="H64" s="67">
        <f>IF(B64="","",IF(OR(C64="",D64="",E64=""),"Faltan datos",IF(COUNTIF(Pacientes!$A$2:$A$46,C64)=0,"Código no registrado",IF(F64&lt;=0,"Tiempo no válido",IF(F64&gt;60,"Revisar: más de 60 min","OK")))))</f>
        <v/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Manual</t>
        </is>
      </c>
      <c r="H65" s="67">
        <f>IF(B65="","",IF(OR(C65="",D65="",E65=""),"Faltan datos",IF(COUNTIF(Pacientes!$A$2:$A$46,C65)=0,"Código no registrado",IF(F65&lt;=0,"Tiempo no válido",IF(F65&gt;60,"Revisar: más de 60 min","OK")))))</f>
        <v/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Manual</t>
        </is>
      </c>
      <c r="H66" s="67">
        <f>IF(B66="","",IF(OR(C66="",D66="",E66=""),"Faltan datos",IF(COUNTIF(Pacientes!$A$2:$A$46,C66)=0,"Código no registrado",IF(F66&lt;=0,"Tiempo no válido",IF(F66&gt;60,"Revisar: más de 60 min","OK")))))</f>
        <v/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Manual</t>
        </is>
      </c>
      <c r="H67" s="67">
        <f>IF(B67="","",IF(OR(C67="",D67="",E67=""),"Faltan datos",IF(COUNTIF(Pacientes!$A$2:$A$46,C67)=0,"Código no registrado",IF(F67&lt;=0,"Tiempo no válido",IF(F67&gt;60,"Revisar: más de 60 min","OK")))))</f>
        <v/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Manual</t>
        </is>
      </c>
      <c r="H68" s="67">
        <f>IF(B68="","",IF(OR(C68="",D68="",E68=""),"Faltan datos",IF(COUNTIF(Pacientes!$A$2:$A$46,C68)=0,"Código no registrado",IF(F68&lt;=0,"Tiempo no válido",IF(F68&gt;60,"Revisar: más de 60 min","OK")))))</f>
        <v/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Manual</t>
        </is>
      </c>
      <c r="H69" s="67">
        <f>IF(B69="","",IF(OR(C69="",D69="",E69=""),"Faltan datos",IF(COUNTIF(Pacientes!$A$2:$A$46,C69)=0,"Código no registrado",IF(F69&lt;=0,"Tiempo no válido",IF(F69&gt;60,"Revisar: más de 60 min","OK")))))</f>
        <v/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Manual</t>
        </is>
      </c>
      <c r="H70" s="67">
        <f>IF(B70="","",IF(OR(C70="",D70="",E70=""),"Faltan datos",IF(COUNTIF(Pacientes!$A$2:$A$46,C70)=0,"Código no registrado",IF(F70&lt;=0,"Tiempo no válido",IF(F70&gt;60,"Revisar: más de 60 min","OK")))))</f>
        <v/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Manual</t>
        </is>
      </c>
      <c r="H71" s="67">
        <f>IF(B71="","",IF(OR(C71="",D71="",E71=""),"Faltan datos",IF(COUNTIF(Pacientes!$A$2:$A$46,C71)=0,"Código no registrado",IF(F71&lt;=0,"Tiempo no válido",IF(F71&gt;60,"Revisar: más de 60 min","OK")))))</f>
        <v/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Manual</t>
        </is>
      </c>
      <c r="H72" s="67">
        <f>IF(B72="","",IF(OR(C72="",D72="",E72=""),"Faltan datos",IF(COUNTIF(Pacientes!$A$2:$A$46,C72)=0,"Código no registrado",IF(F72&lt;=0,"Tiempo no válido",IF(F72&gt;60,"Revisar: más de 60 min","OK")))))</f>
        <v/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Manual</t>
        </is>
      </c>
      <c r="H73" s="67">
        <f>IF(B73="","",IF(OR(C73="",D73="",E73=""),"Faltan datos",IF(COUNTIF(Pacientes!$A$2:$A$46,C73)=0,"Código no registrado",IF(F73&lt;=0,"Tiempo no válido",IF(F73&gt;60,"Revisar: más de 60 min","OK")))))</f>
        <v/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Manual</t>
        </is>
      </c>
      <c r="H74" s="67">
        <f>IF(B74="","",IF(OR(C74="",D74="",E74=""),"Faltan datos",IF(COUNTIF(Pacientes!$A$2:$A$46,C74)=0,"Código no registrado",IF(F74&lt;=0,"Tiempo no válido",IF(F74&gt;60,"Revisar: más de 60 min","OK")))))</f>
        <v/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Manual</t>
        </is>
      </c>
      <c r="H75" s="67">
        <f>IF(B75="","",IF(OR(C75="",D75="",E75=""),"Faltan datos",IF(COUNTIF(Pacientes!$A$2:$A$46,C75)=0,"Código no registrado",IF(F75&lt;=0,"Tiempo no válido",IF(F75&gt;60,"Revisar: más de 60 min","OK")))))</f>
        <v/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Manual</t>
        </is>
      </c>
      <c r="H76" s="67">
        <f>IF(B76="","",IF(OR(C76="",D76="",E76=""),"Faltan datos",IF(COUNTIF(Pacientes!$A$2:$A$46,C76)=0,"Código no registrado",IF(F76&lt;=0,"Tiempo no válido",IF(F76&gt;60,"Revisar: más de 60 min","OK")))))</f>
        <v/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Manual</t>
        </is>
      </c>
      <c r="H77" s="67">
        <f>IF(B77="","",IF(OR(C77="",D77="",E77=""),"Faltan datos",IF(COUNTIF(Pacientes!$A$2:$A$46,C77)=0,"Código no registrado",IF(F77&lt;=0,"Tiempo no válido",IF(F77&gt;60,"Revisar: más de 60 min","OK")))))</f>
        <v/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Manual</t>
        </is>
      </c>
      <c r="H78" s="67">
        <f>IF(B78="","",IF(OR(C78="",D78="",E78=""),"Faltan datos",IF(COUNTIF(Pacientes!$A$2:$A$46,C78)=0,"Código no registrado",IF(F78&lt;=0,"Tiempo no válido",IF(F78&gt;60,"Revisar: más de 60 min","OK")))))</f>
        <v/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Manual</t>
        </is>
      </c>
      <c r="H79" s="67">
        <f>IF(B79="","",IF(OR(C79="",D79="",E79=""),"Faltan datos",IF(COUNTIF(Pacientes!$A$2:$A$46,C79)=0,"Código no registrado",IF(F79&lt;=0,"Tiempo no válido",IF(F79&gt;60,"Revisar: más de 60 min","OK")))))</f>
        <v/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Manual</t>
        </is>
      </c>
      <c r="H80" s="67">
        <f>IF(B80="","",IF(OR(C80="",D80="",E80=""),"Faltan datos",IF(COUNTIF(Pacientes!$A$2:$A$46,C80)=0,"Código no registrado",IF(F80&lt;=0,"Tiempo no válido",IF(F80&gt;60,"Revisar: más de 60 min","OK")))))</f>
        <v/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Manual</t>
        </is>
      </c>
      <c r="H81" s="67">
        <f>IF(B81="","",IF(OR(C81="",D81="",E81=""),"Faltan datos",IF(COUNTIF(Pacientes!$A$2:$A$46,C81)=0,"Código no registrado",IF(F81&lt;=0,"Tiempo no válido",IF(F81&gt;60,"Revisar: más de 60 min","OK")))))</f>
        <v/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Manual</t>
        </is>
      </c>
      <c r="H82" s="67">
        <f>IF(B82="","",IF(OR(C82="",D82="",E82=""),"Faltan datos",IF(COUNTIF(Pacientes!$A$2:$A$46,C82)=0,"Código no registrado",IF(F82&lt;=0,"Tiempo no válido",IF(F82&gt;60,"Revisar: más de 60 min","OK")))))</f>
        <v/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Manual</t>
        </is>
      </c>
      <c r="H83" s="67">
        <f>IF(B83="","",IF(OR(C83="",D83="",E83=""),"Faltan datos",IF(COUNTIF(Pacientes!$A$2:$A$46,C83)=0,"Código no registrado",IF(F83&lt;=0,"Tiempo no válido",IF(F83&gt;60,"Revisar: más de 60 min","OK")))))</f>
        <v/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Manual</t>
        </is>
      </c>
      <c r="H84" s="67">
        <f>IF(B84="","",IF(OR(C84="",D84="",E84=""),"Faltan datos",IF(COUNTIF(Pacientes!$A$2:$A$46,C84)=0,"Código no registrado",IF(F84&lt;=0,"Tiempo no válido",IF(F84&gt;60,"Revisar: más de 60 min","OK")))))</f>
        <v/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Manual</t>
        </is>
      </c>
      <c r="H85" s="67">
        <f>IF(B85="","",IF(OR(C85="",D85="",E85=""),"Faltan datos",IF(COUNTIF(Pacientes!$A$2:$A$46,C85)=0,"Código no registrado",IF(F85&lt;=0,"Tiempo no válido",IF(F85&gt;60,"Revisar: más de 60 min","OK")))))</f>
        <v/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Manual</t>
        </is>
      </c>
      <c r="H86" s="67">
        <f>IF(B86="","",IF(OR(C86="",D86="",E86=""),"Faltan datos",IF(COUNTIF(Pacientes!$A$2:$A$46,C86)=0,"Código no registrado",IF(F86&lt;=0,"Tiempo no válido",IF(F86&gt;60,"Revisar: más de 60 min","OK")))))</f>
        <v/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Manual</t>
        </is>
      </c>
      <c r="H87" s="67">
        <f>IF(B87="","",IF(OR(C87="",D87="",E87=""),"Faltan datos",IF(COUNTIF(Pacientes!$A$2:$A$46,C87)=0,"Código no registrado",IF(F87&lt;=0,"Tiempo no válido",IF(F87&gt;60,"Revisar: más de 60 min","OK")))))</f>
        <v/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Manual</t>
        </is>
      </c>
      <c r="H88" s="67">
        <f>IF(B88="","",IF(OR(C88="",D88="",E88=""),"Faltan datos",IF(COUNTIF(Pacientes!$A$2:$A$46,C88)=0,"Código no registrado",IF(F88&lt;=0,"Tiempo no válido",IF(F88&gt;60,"Revisar: más de 60 min","OK")))))</f>
        <v/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Manual</t>
        </is>
      </c>
      <c r="H89" s="67">
        <f>IF(B89="","",IF(OR(C89="",D89="",E89=""),"Faltan datos",IF(COUNTIF(Pacientes!$A$2:$A$46,C89)=0,"Código no registrado",IF(F89&lt;=0,"Tiempo no válido",IF(F89&gt;60,"Revisar: más de 60 min","OK")))))</f>
        <v/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Manual</t>
        </is>
      </c>
      <c r="H90" s="67">
        <f>IF(B90="","",IF(OR(C90="",D90="",E90=""),"Faltan datos",IF(COUNTIF(Pacientes!$A$2:$A$46,C90)=0,"Código no registrado",IF(F90&lt;=0,"Tiempo no válido",IF(F90&gt;60,"Revisar: más de 60 min","OK")))))</f>
        <v/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Manual</t>
        </is>
      </c>
      <c r="H91" s="67">
        <f>IF(B91="","",IF(OR(C91="",D91="",E91=""),"Faltan datos",IF(COUNTIF(Pacientes!$A$2:$A$46,C91)=0,"Código no registrado",IF(F91&lt;=0,"Tiempo no válido",IF(F91&gt;60,"Revisar: más de 60 min","OK")))))</f>
        <v/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Manual</t>
        </is>
      </c>
      <c r="H92" s="67">
        <f>IF(B92="","",IF(OR(C92="",D92="",E92=""),"Faltan datos",IF(COUNTIF(Pacientes!$A$2:$A$46,C92)=0,"Código no registrado",IF(F92&lt;=0,"Tiempo no válido",IF(F92&gt;60,"Revisar: más de 60 min","OK")))))</f>
        <v/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Manual</t>
        </is>
      </c>
      <c r="H93" s="67">
        <f>IF(B93="","",IF(OR(C93="",D93="",E93=""),"Faltan datos",IF(COUNTIF(Pacientes!$A$2:$A$46,C93)=0,"Código no registrado",IF(F93&lt;=0,"Tiempo no válido",IF(F93&gt;60,"Revisar: más de 60 min","OK")))))</f>
        <v/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Manual</t>
        </is>
      </c>
      <c r="H94" s="67">
        <f>IF(B94="","",IF(OR(C94="",D94="",E94=""),"Faltan datos",IF(COUNTIF(Pacientes!$A$2:$A$46,C94)=0,"Código no registrado",IF(F94&lt;=0,"Tiempo no válido",IF(F94&gt;60,"Revisar: más de 60 min","OK")))))</f>
        <v/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Manual</t>
        </is>
      </c>
      <c r="H95" s="67">
        <f>IF(B95="","",IF(OR(C95="",D95="",E95=""),"Faltan datos",IF(COUNTIF(Pacientes!$A$2:$A$46,C95)=0,"Código no registrado",IF(F95&lt;=0,"Tiempo no válido",IF(F95&gt;60,"Revisar: más de 60 min","OK")))))</f>
        <v/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Manual</t>
        </is>
      </c>
      <c r="H96" s="67">
        <f>IF(B96="","",IF(OR(C96="",D96="",E96=""),"Faltan datos",IF(COUNTIF(Pacientes!$A$2:$A$46,C96)=0,"Código no registrado",IF(F96&lt;=0,"Tiempo no válido",IF(F96&gt;60,"Revisar: más de 60 min","OK")))))</f>
        <v/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Manual</t>
        </is>
      </c>
      <c r="H97" s="67">
        <f>IF(B97="","",IF(OR(C97="",D97="",E97=""),"Faltan datos",IF(COUNTIF(Pacientes!$A$2:$A$46,C97)=0,"Código no registrado",IF(F97&lt;=0,"Tiempo no válido",IF(F97&gt;60,"Revisar: más de 60 min","OK")))))</f>
        <v/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Manual</t>
        </is>
      </c>
      <c r="H98" s="67">
        <f>IF(B98="","",IF(OR(C98="",D98="",E98=""),"Faltan datos",IF(COUNTIF(Pacientes!$A$2:$A$46,C98)=0,"Código no registrado",IF(F98&lt;=0,"Tiempo no válido",IF(F98&gt;60,"Revisar: más de 60 min","OK")))))</f>
        <v/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Manual</t>
        </is>
      </c>
      <c r="H99" s="67">
        <f>IF(B99="","",IF(OR(C99="",D99="",E99=""),"Faltan datos",IF(COUNTIF(Pacientes!$A$2:$A$46,C99)=0,"Código no registrado",IF(F99&lt;=0,"Tiempo no válido",IF(F99&gt;60,"Revisar: más de 60 min","OK")))))</f>
        <v/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Manual</t>
        </is>
      </c>
      <c r="H100" s="67">
        <f>IF(B100="","",IF(OR(C100="",D100="",E100=""),"Faltan datos",IF(COUNTIF(Pacientes!$A$2:$A$46,C100)=0,"Código no registrado",IF(F100&lt;=0,"Tiempo no válido",IF(F100&gt;60,"Revisar: más de 60 min","OK")))))</f>
        <v/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Manual</t>
        </is>
      </c>
      <c r="H101" s="67">
        <f>IF(B101="","",IF(OR(C101="",D101="",E101=""),"Faltan datos",IF(COUNTIF(Pacientes!$A$2:$A$46,C101)=0,"Código no registrado",IF(F101&lt;=0,"Tiempo no válido",IF(F101&gt;60,"Revisar: más de 60 min","OK")))))</f>
        <v/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Manual</t>
        </is>
      </c>
      <c r="H102" s="67">
        <f>IF(B102="","",IF(OR(C102="",D102="",E102=""),"Faltan datos",IF(COUNTIF(Pacientes!$A$2:$A$46,C102)=0,"Código no registrado",IF(F102&lt;=0,"Tiempo no válido",IF(F102&gt;60,"Revisar: más de 60 min","OK")))))</f>
        <v/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Manual</t>
        </is>
      </c>
      <c r="H103" s="67">
        <f>IF(B103="","",IF(OR(C103="",D103="",E103=""),"Faltan datos",IF(COUNTIF(Pacientes!$A$2:$A$46,C103)=0,"Código no registrado",IF(F103&lt;=0,"Tiempo no válido",IF(F103&gt;60,"Revisar: más de 60 min","OK")))))</f>
        <v/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Manual</t>
        </is>
      </c>
      <c r="H104" s="67">
        <f>IF(B104="","",IF(OR(C104="",D104="",E104=""),"Faltan datos",IF(COUNTIF(Pacientes!$A$2:$A$46,C104)=0,"Código no registrado",IF(F104&lt;=0,"Tiempo no válido",IF(F104&gt;60,"Revisar: más de 60 min","OK")))))</f>
        <v/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Manual</t>
        </is>
      </c>
      <c r="H105" s="67">
        <f>IF(B105="","",IF(OR(C105="",D105="",E105=""),"Faltan datos",IF(COUNTIF(Pacientes!$A$2:$A$46,C105)=0,"Código no registrado",IF(F105&lt;=0,"Tiempo no válido",IF(F105&gt;60,"Revisar: más de 60 min","OK")))))</f>
        <v/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Manual</t>
        </is>
      </c>
      <c r="H106" s="67">
        <f>IF(B106="","",IF(OR(C106="",D106="",E106=""),"Faltan datos",IF(COUNTIF(Pacientes!$A$2:$A$46,C106)=0,"Código no registrado",IF(F106&lt;=0,"Tiempo no válido",IF(F106&gt;60,"Revisar: más de 60 min","OK")))))</f>
        <v/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Manual</t>
        </is>
      </c>
      <c r="H107" s="67">
        <f>IF(B107="","",IF(OR(C107="",D107="",E107=""),"Faltan datos",IF(COUNTIF(Pacientes!$A$2:$A$46,C107)=0,"Código no registrado",IF(F107&lt;=0,"Tiempo no válido",IF(F107&gt;60,"Revisar: más de 60 min","OK")))))</f>
        <v/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Manual</t>
        </is>
      </c>
      <c r="H108" s="67">
        <f>IF(B108="","",IF(OR(C108="",D108="",E108=""),"Faltan datos",IF(COUNTIF(Pacientes!$A$2:$A$46,C108)=0,"Código no registrado",IF(F108&lt;=0,"Tiempo no válido",IF(F108&gt;60,"Revisar: más de 60 min","OK")))))</f>
        <v/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Manual</t>
        </is>
      </c>
      <c r="H109" s="67">
        <f>IF(B109="","",IF(OR(C109="",D109="",E109=""),"Faltan datos",IF(COUNTIF(Pacientes!$A$2:$A$46,C109)=0,"Código no registrado",IF(F109&lt;=0,"Tiempo no válido",IF(F109&gt;60,"Revisar: más de 60 min","OK")))))</f>
        <v/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Manual</t>
        </is>
      </c>
      <c r="H110" s="67">
        <f>IF(B110="","",IF(OR(C110="",D110="",E110=""),"Faltan datos",IF(COUNTIF(Pacientes!$A$2:$A$46,C110)=0,"Código no registrado",IF(F110&lt;=0,"Tiempo no válido",IF(F110&gt;60,"Revisar: más de 60 min","OK")))))</f>
        <v/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Manual</t>
        </is>
      </c>
      <c r="H111" s="67">
        <f>IF(B111="","",IF(OR(C111="",D111="",E111=""),"Faltan datos",IF(COUNTIF(Pacientes!$A$2:$A$46,C111)=0,"Código no registrado",IF(F111&lt;=0,"Tiempo no válido",IF(F111&gt;60,"Revisar: más de 60 min","OK")))))</f>
        <v/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Manual</t>
        </is>
      </c>
      <c r="H112" s="67">
        <f>IF(B112="","",IF(OR(C112="",D112="",E112=""),"Faltan datos",IF(COUNTIF(Pacientes!$A$2:$A$46,C112)=0,"Código no registrado",IF(F112&lt;=0,"Tiempo no válido",IF(F112&gt;60,"Revisar: más de 60 min","OK")))))</f>
        <v/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Manual</t>
        </is>
      </c>
      <c r="H113" s="67">
        <f>IF(B113="","",IF(OR(C113="",D113="",E113=""),"Faltan datos",IF(COUNTIF(Pacientes!$A$2:$A$46,C113)=0,"Código no registrado",IF(F113&lt;=0,"Tiempo no válido",IF(F113&gt;60,"Revisar: más de 60 min","OK")))))</f>
        <v/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Manual</t>
        </is>
      </c>
      <c r="H114" s="67">
        <f>IF(B114="","",IF(OR(C114="",D114="",E114=""),"Faltan datos",IF(COUNTIF(Pacientes!$A$2:$A$46,C114)=0,"Código no registrado",IF(F114&lt;=0,"Tiempo no válido",IF(F114&gt;60,"Revisar: más de 60 min","OK")))))</f>
        <v/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Manual</t>
        </is>
      </c>
      <c r="H115" s="67">
        <f>IF(B115="","",IF(OR(C115="",D115="",E115=""),"Faltan datos",IF(COUNTIF(Pacientes!$A$2:$A$46,C115)=0,"Código no registrado",IF(F115&lt;=0,"Tiempo no válido",IF(F115&gt;60,"Revisar: más de 60 min","OK")))))</f>
        <v/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Manual</t>
        </is>
      </c>
      <c r="H116" s="67">
        <f>IF(B116="","",IF(OR(C116="",D116="",E116=""),"Faltan datos",IF(COUNTIF(Pacientes!$A$2:$A$46,C116)=0,"Código no registrado",IF(F116&lt;=0,"Tiempo no válido",IF(F116&gt;60,"Revisar: más de 60 min","OK")))))</f>
        <v/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Manual</t>
        </is>
      </c>
      <c r="H117" s="67">
        <f>IF(B117="","",IF(OR(C117="",D117="",E117=""),"Faltan datos",IF(COUNTIF(Pacientes!$A$2:$A$46,C117)=0,"Código no registrado",IF(F117&lt;=0,"Tiempo no válido",IF(F117&gt;60,"Revisar: más de 60 min","OK")))))</f>
        <v/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Manual</t>
        </is>
      </c>
      <c r="H118" s="67">
        <f>IF(B118="","",IF(OR(C118="",D118="",E118=""),"Faltan datos",IF(COUNTIF(Pacientes!$A$2:$A$46,C118)=0,"Código no registrado",IF(F118&lt;=0,"Tiempo no válido",IF(F118&gt;60,"Revisar: más de 60 min","OK")))))</f>
        <v/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Manual</t>
        </is>
      </c>
      <c r="H119" s="67">
        <f>IF(B119="","",IF(OR(C119="",D119="",E119=""),"Faltan datos",IF(COUNTIF(Pacientes!$A$2:$A$46,C119)=0,"Código no registrado",IF(F119&lt;=0,"Tiempo no válido",IF(F119&gt;60,"Revisar: más de 60 min","OK")))))</f>
        <v/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Manual</t>
        </is>
      </c>
      <c r="H120" s="67">
        <f>IF(B120="","",IF(OR(C120="",D120="",E120=""),"Faltan datos",IF(COUNTIF(Pacientes!$A$2:$A$46,C120)=0,"Código no registrado",IF(F120&lt;=0,"Tiempo no válido",IF(F120&gt;60,"Revisar: más de 60 min","OK")))))</f>
        <v/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Manual</t>
        </is>
      </c>
      <c r="H121" s="67">
        <f>IF(B121="","",IF(OR(C121="",D121="",E121=""),"Faltan datos",IF(COUNTIF(Pacientes!$A$2:$A$46,C121)=0,"Código no registrado",IF(F121&lt;=0,"Tiempo no válido",IF(F121&gt;60,"Revisar: más de 60 min","OK")))))</f>
        <v/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Manual</t>
        </is>
      </c>
      <c r="H122" s="67">
        <f>IF(B122="","",IF(OR(C122="",D122="",E122=""),"Faltan datos",IF(COUNTIF(Pacientes!$A$2:$A$46,C122)=0,"Código no registrado",IF(F122&lt;=0,"Tiempo no válido",IF(F122&gt;60,"Revisar: más de 60 min","OK")))))</f>
        <v/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Manual</t>
        </is>
      </c>
      <c r="H123" s="67">
        <f>IF(B123="","",IF(OR(C123="",D123="",E123=""),"Faltan datos",IF(COUNTIF(Pacientes!$A$2:$A$46,C123)=0,"Código no registrado",IF(F123&lt;=0,"Tiempo no válido",IF(F123&gt;60,"Revisar: más de 60 min","OK")))))</f>
        <v/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Manual</t>
        </is>
      </c>
      <c r="H124" s="67">
        <f>IF(B124="","",IF(OR(C124="",D124="",E124=""),"Faltan datos",IF(COUNTIF(Pacientes!$A$2:$A$46,C124)=0,"Código no registrado",IF(F124&lt;=0,"Tiempo no válido",IF(F124&gt;60,"Revisar: más de 60 min","OK")))))</f>
        <v/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Manual</t>
        </is>
      </c>
      <c r="H125" s="67">
        <f>IF(B125="","",IF(OR(C125="",D125="",E125=""),"Faltan datos",IF(COUNTIF(Pacientes!$A$2:$A$46,C125)=0,"Código no registrado",IF(F125&lt;=0,"Tiempo no válido",IF(F125&gt;60,"Revisar: más de 60 min","OK")))))</f>
        <v/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Manual</t>
        </is>
      </c>
      <c r="H126" s="67">
        <f>IF(B126="","",IF(OR(C126="",D126="",E126=""),"Faltan datos",IF(COUNTIF(Pacientes!$A$2:$A$46,C126)=0,"Código no registrado",IF(F126&lt;=0,"Tiempo no válido",IF(F126&gt;60,"Revisar: más de 60 min","OK")))))</f>
        <v/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Manual</t>
        </is>
      </c>
      <c r="H127" s="67">
        <f>IF(B127="","",IF(OR(C127="",D127="",E127=""),"Faltan datos",IF(COUNTIF(Pacientes!$A$2:$A$46,C127)=0,"Código no registrado",IF(F127&lt;=0,"Tiempo no válido",IF(F127&gt;60,"Revisar: más de 60 min","OK")))))</f>
        <v/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Manual</t>
        </is>
      </c>
      <c r="H128" s="67">
        <f>IF(B128="","",IF(OR(C128="",D128="",E128=""),"Faltan datos",IF(COUNTIF(Pacientes!$A$2:$A$46,C128)=0,"Código no registrado",IF(F128&lt;=0,"Tiempo no válido",IF(F128&gt;60,"Revisar: más de 60 min","OK")))))</f>
        <v/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Manual</t>
        </is>
      </c>
      <c r="H129" s="67">
        <f>IF(B129="","",IF(OR(C129="",D129="",E129=""),"Faltan datos",IF(COUNTIF(Pacientes!$A$2:$A$46,C129)=0,"Código no registrado",IF(F129&lt;=0,"Tiempo no válido",IF(F129&gt;60,"Revisar: más de 60 min","OK")))))</f>
        <v/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Manual</t>
        </is>
      </c>
      <c r="H130" s="67">
        <f>IF(B130="","",IF(OR(C130="",D130="",E130=""),"Faltan datos",IF(COUNTIF(Pacientes!$A$2:$A$46,C130)=0,"Código no registrado",IF(F130&lt;=0,"Tiempo no válido",IF(F130&gt;60,"Revisar: más de 60 min","OK")))))</f>
        <v/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Manual</t>
        </is>
      </c>
      <c r="H131" s="67">
        <f>IF(B131="","",IF(OR(C131="",D131="",E131=""),"Faltan datos",IF(COUNTIF(Pacientes!$A$2:$A$46,C131)=0,"Código no registrado",IF(F131&lt;=0,"Tiempo no válido",IF(F131&gt;60,"Revisar: más de 60 min","OK")))))</f>
        <v/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Manual</t>
        </is>
      </c>
      <c r="H132" s="67">
        <f>IF(B132="","",IF(OR(C132="",D132="",E132=""),"Faltan datos",IF(COUNTIF(Pacientes!$A$2:$A$46,C132)=0,"Código no registrado",IF(F132&lt;=0,"Tiempo no válido",IF(F132&gt;60,"Revisar: más de 60 min","OK")))))</f>
        <v/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Manual</t>
        </is>
      </c>
      <c r="H133" s="67">
        <f>IF(B133="","",IF(OR(C133="",D133="",E133=""),"Faltan datos",IF(COUNTIF(Pacientes!$A$2:$A$46,C133)=0,"Código no registrado",IF(F133&lt;=0,"Tiempo no válido",IF(F133&gt;60,"Revisar: más de 60 min","OK")))))</f>
        <v/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Manual</t>
        </is>
      </c>
      <c r="H134" s="67">
        <f>IF(B134="","",IF(OR(C134="",D134="",E134=""),"Faltan datos",IF(COUNTIF(Pacientes!$A$2:$A$46,C134)=0,"Código no registrado",IF(F134&lt;=0,"Tiempo no válido",IF(F134&gt;60,"Revisar: más de 60 min","OK")))))</f>
        <v/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Manual</t>
        </is>
      </c>
      <c r="H135" s="67">
        <f>IF(B135="","",IF(OR(C135="",D135="",E135=""),"Faltan datos",IF(COUNTIF(Pacientes!$A$2:$A$46,C135)=0,"Código no registrado",IF(F135&lt;=0,"Tiempo no válido",IF(F135&gt;60,"Revisar: más de 60 min","OK")))))</f>
        <v/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Manual</t>
        </is>
      </c>
      <c r="H136" s="67">
        <f>IF(B136="","",IF(OR(C136="",D136="",E136=""),"Faltan datos",IF(COUNTIF(Pacientes!$A$2:$A$46,C136)=0,"Código no registrado",IF(F136&lt;=0,"Tiempo no válido",IF(F136&gt;60,"Revisar: más de 60 min","OK")))))</f>
        <v/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Manual</t>
        </is>
      </c>
      <c r="H137" s="67">
        <f>IF(B137="","",IF(OR(C137="",D137="",E137=""),"Faltan datos",IF(COUNTIF(Pacientes!$A$2:$A$46,C137)=0,"Código no registrado",IF(F137&lt;=0,"Tiempo no válido",IF(F137&gt;60,"Revisar: más de 60 min","OK")))))</f>
        <v/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Manual</t>
        </is>
      </c>
      <c r="H138" s="67">
        <f>IF(B138="","",IF(OR(C138="",D138="",E138=""),"Faltan datos",IF(COUNTIF(Pacientes!$A$2:$A$46,C138)=0,"Código no registrado",IF(F138&lt;=0,"Tiempo no válido",IF(F138&gt;60,"Revisar: más de 60 min","OK")))))</f>
        <v/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Manual</t>
        </is>
      </c>
      <c r="H139" s="67">
        <f>IF(B139="","",IF(OR(C139="",D139="",E139=""),"Faltan datos",IF(COUNTIF(Pacientes!$A$2:$A$46,C139)=0,"Código no registrado",IF(F139&lt;=0,"Tiempo no válido",IF(F139&gt;60,"Revisar: más de 60 min","OK")))))</f>
        <v/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Manual</t>
        </is>
      </c>
      <c r="H140" s="67">
        <f>IF(B140="","",IF(OR(C140="",D140="",E140=""),"Faltan datos",IF(COUNTIF(Pacientes!$A$2:$A$46,C140)=0,"Código no registrado",IF(F140&lt;=0,"Tiempo no válido",IF(F140&gt;60,"Revisar: más de 60 min","OK")))))</f>
        <v/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Manual</t>
        </is>
      </c>
      <c r="H141" s="67">
        <f>IF(B141="","",IF(OR(C141="",D141="",E141=""),"Faltan datos",IF(COUNTIF(Pacientes!$A$2:$A$46,C141)=0,"Código no registrado",IF(F141&lt;=0,"Tiempo no válido",IF(F141&gt;60,"Revisar: más de 60 min","OK")))))</f>
        <v/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Manual</t>
        </is>
      </c>
      <c r="H142" s="67">
        <f>IF(B142="","",IF(OR(C142="",D142="",E142=""),"Faltan datos",IF(COUNTIF(Pacientes!$A$2:$A$46,C142)=0,"Código no registrado",IF(F142&lt;=0,"Tiempo no válido",IF(F142&gt;60,"Revisar: más de 60 min","OK")))))</f>
        <v/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Manual</t>
        </is>
      </c>
      <c r="H143" s="67">
        <f>IF(B143="","",IF(OR(C143="",D143="",E143=""),"Faltan datos",IF(COUNTIF(Pacientes!$A$2:$A$46,C143)=0,"Código no registrado",IF(F143&lt;=0,"Tiempo no válido",IF(F143&gt;60,"Revisar: más de 60 min","OK")))))</f>
        <v/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Manual</t>
        </is>
      </c>
      <c r="H144" s="67">
        <f>IF(B144="","",IF(OR(C144="",D144="",E144=""),"Faltan datos",IF(COUNTIF(Pacientes!$A$2:$A$46,C144)=0,"Código no registrado",IF(F144&lt;=0,"Tiempo no válido",IF(F144&gt;60,"Revisar: más de 60 min","OK")))))</f>
        <v/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Manual</t>
        </is>
      </c>
      <c r="H145" s="67">
        <f>IF(B145="","",IF(OR(C145="",D145="",E145=""),"Faltan datos",IF(COUNTIF(Pacientes!$A$2:$A$46,C145)=0,"Código no registrado",IF(F145&lt;=0,"Tiempo no válido",IF(F145&gt;60,"Revisar: más de 60 min","OK")))))</f>
        <v/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Manual</t>
        </is>
      </c>
      <c r="H146" s="67">
        <f>IF(B146="","",IF(OR(C146="",D146="",E146=""),"Faltan datos",IF(COUNTIF(Pacientes!$A$2:$A$46,C146)=0,"Código no registrado",IF(F146&lt;=0,"Tiempo no válido",IF(F146&gt;60,"Revisar: más de 60 min","OK")))))</f>
        <v/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Manual</t>
        </is>
      </c>
      <c r="H147" s="67">
        <f>IF(B147="","",IF(OR(C147="",D147="",E147=""),"Faltan datos",IF(COUNTIF(Pacientes!$A$2:$A$46,C147)=0,"Código no registrado",IF(F147&lt;=0,"Tiempo no válido",IF(F147&gt;60,"Revisar: más de 60 min","OK")))))</f>
        <v/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Manual</t>
        </is>
      </c>
      <c r="H148" s="67">
        <f>IF(B148="","",IF(OR(C148="",D148="",E148=""),"Faltan datos",IF(COUNTIF(Pacientes!$A$2:$A$46,C148)=0,"Código no registrado",IF(F148&lt;=0,"Tiempo no válido",IF(F148&gt;60,"Revisar: más de 60 min","OK")))))</f>
        <v/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Manual</t>
        </is>
      </c>
      <c r="H149" s="67">
        <f>IF(B149="","",IF(OR(C149="",D149="",E149=""),"Faltan datos",IF(COUNTIF(Pacientes!$A$2:$A$46,C149)=0,"Código no registrado",IF(F149&lt;=0,"Tiempo no válido",IF(F149&gt;60,"Revisar: más de 60 min","OK")))))</f>
        <v/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Manual</t>
        </is>
      </c>
      <c r="H150" s="67">
        <f>IF(B150="","",IF(OR(C150="",D150="",E150=""),"Faltan datos",IF(COUNTIF(Pacientes!$A$2:$A$46,C150)=0,"Código no registrado",IF(F150&lt;=0,"Tiempo no válido",IF(F150&gt;60,"Revisar: más de 60 min","OK")))))</f>
        <v/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Manual</t>
        </is>
      </c>
      <c r="H151" s="67">
        <f>IF(B151="","",IF(OR(C151="",D151="",E151=""),"Faltan datos",IF(COUNTIF(Pacientes!$A$2:$A$46,C151)=0,"Código no registrado",IF(F151&lt;=0,"Tiempo no válido",IF(F151&gt;60,"Revisar: más de 60 min","OK")))))</f>
        <v/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Manual</t>
        </is>
      </c>
      <c r="H152" s="67">
        <f>IF(B152="","",IF(OR(C152="",D152="",E152=""),"Faltan datos",IF(COUNTIF(Pacientes!$A$2:$A$46,C152)=0,"Código no registrado",IF(F152&lt;=0,"Tiempo no válido",IF(F152&gt;60,"Revisar: más de 60 min","OK")))))</f>
        <v/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Manual</t>
        </is>
      </c>
      <c r="H153" s="67">
        <f>IF(B153="","",IF(OR(C153="",D153="",E153=""),"Faltan datos",IF(COUNTIF(Pacientes!$A$2:$A$46,C153)=0,"Código no registrado",IF(F153&lt;=0,"Tiempo no válido",IF(F153&gt;60,"Revisar: más de 60 min","OK")))))</f>
        <v/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Manual</t>
        </is>
      </c>
      <c r="H154" s="67">
        <f>IF(B154="","",IF(OR(C154="",D154="",E154=""),"Faltan datos",IF(COUNTIF(Pacientes!$A$2:$A$46,C154)=0,"Código no registrado",IF(F154&lt;=0,"Tiempo no válido",IF(F154&gt;60,"Revisar: más de 60 min","OK")))))</f>
        <v/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Manual</t>
        </is>
      </c>
      <c r="H155" s="67">
        <f>IF(B155="","",IF(OR(C155="",D155="",E155=""),"Faltan datos",IF(COUNTIF(Pacientes!$A$2:$A$46,C155)=0,"Código no registrado",IF(F155&lt;=0,"Tiempo no válido",IF(F155&gt;60,"Revisar: más de 60 min","OK")))))</f>
        <v/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Manual</t>
        </is>
      </c>
      <c r="H156" s="67">
        <f>IF(B156="","",IF(OR(C156="",D156="",E156=""),"Faltan datos",IF(COUNTIF(Pacientes!$A$2:$A$46,C156)=0,"Código no registrado",IF(F156&lt;=0,"Tiempo no válido",IF(F156&gt;60,"Revisar: más de 60 min","OK")))))</f>
        <v/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Manual</t>
        </is>
      </c>
      <c r="H157" s="67">
        <f>IF(B157="","",IF(OR(C157="",D157="",E157=""),"Faltan datos",IF(COUNTIF(Pacientes!$A$2:$A$46,C157)=0,"Código no registrado",IF(F157&lt;=0,"Tiempo no válido",IF(F157&gt;60,"Revisar: más de 60 min","OK")))))</f>
        <v/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Manual</t>
        </is>
      </c>
      <c r="H158" s="67">
        <f>IF(B158="","",IF(OR(C158="",D158="",E158=""),"Faltan datos",IF(COUNTIF(Pacientes!$A$2:$A$46,C158)=0,"Código no registrado",IF(F158&lt;=0,"Tiempo no válido",IF(F158&gt;60,"Revisar: más de 60 min","OK")))))</f>
        <v/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Manual</t>
        </is>
      </c>
      <c r="H159" s="67">
        <f>IF(B159="","",IF(OR(C159="",D159="",E159=""),"Faltan datos",IF(COUNTIF(Pacientes!$A$2:$A$46,C159)=0,"Código no registrado",IF(F159&lt;=0,"Tiempo no válido",IF(F159&gt;60,"Revisar: más de 60 min","OK")))))</f>
        <v/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Manual</t>
        </is>
      </c>
      <c r="H160" s="67">
        <f>IF(B160="","",IF(OR(C160="",D160="",E160=""),"Faltan datos",IF(COUNTIF(Pacientes!$A$2:$A$46,C160)=0,"Código no registrado",IF(F160&lt;=0,"Tiempo no válido",IF(F160&gt;60,"Revisar: más de 60 min","OK")))))</f>
        <v/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Manual</t>
        </is>
      </c>
      <c r="H161" s="67">
        <f>IF(B161="","",IF(OR(C161="",D161="",E161=""),"Faltan datos",IF(COUNTIF(Pacientes!$A$2:$A$46,C161)=0,"Código no registrado",IF(F161&lt;=0,"Tiempo no válido",IF(F161&gt;60,"Revisar: más de 60 min","OK")))))</f>
        <v/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Manual</t>
        </is>
      </c>
      <c r="H162" s="67">
        <f>IF(B162="","",IF(OR(C162="",D162="",E162=""),"Faltan datos",IF(COUNTIF(Pacientes!$A$2:$A$46,C162)=0,"Código no registrado",IF(F162&lt;=0,"Tiempo no válido",IF(F162&gt;60,"Revisar: más de 60 min","OK")))))</f>
        <v/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Manual</t>
        </is>
      </c>
      <c r="H163" s="67">
        <f>IF(B163="","",IF(OR(C163="",D163="",E163=""),"Faltan datos",IF(COUNTIF(Pacientes!$A$2:$A$46,C163)=0,"Código no registrado",IF(F163&lt;=0,"Tiempo no válido",IF(F163&gt;60,"Revisar: más de 60 min","OK")))))</f>
        <v/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Manual</t>
        </is>
      </c>
      <c r="H164" s="67">
        <f>IF(B164="","",IF(OR(C164="",D164="",E164=""),"Faltan datos",IF(COUNTIF(Pacientes!$A$2:$A$46,C164)=0,"Código no registrado",IF(F164&lt;=0,"Tiempo no válido",IF(F164&gt;60,"Revisar: más de 60 min","OK")))))</f>
        <v/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Manual</t>
        </is>
      </c>
      <c r="H165" s="67">
        <f>IF(B165="","",IF(OR(C165="",D165="",E165=""),"Faltan datos",IF(COUNTIF(Pacientes!$A$2:$A$46,C165)=0,"Código no registrado",IF(F165&lt;=0,"Tiempo no válido",IF(F165&gt;60,"Revisar: más de 60 min","OK")))))</f>
        <v/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Manual</t>
        </is>
      </c>
      <c r="H166" s="67">
        <f>IF(B166="","",IF(OR(C166="",D166="",E166=""),"Faltan datos",IF(COUNTIF(Pacientes!$A$2:$A$46,C166)=0,"Código no registrado",IF(F166&lt;=0,"Tiempo no válido",IF(F166&gt;60,"Revisar: más de 60 min","OK")))))</f>
        <v/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Manual</t>
        </is>
      </c>
      <c r="H167" s="67">
        <f>IF(B167="","",IF(OR(C167="",D167="",E167=""),"Faltan datos",IF(COUNTIF(Pacientes!$A$2:$A$46,C167)=0,"Código no registrado",IF(F167&lt;=0,"Tiempo no válido",IF(F167&gt;60,"Revisar: más de 60 min","OK")))))</f>
        <v/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Manual</t>
        </is>
      </c>
      <c r="H168" s="67">
        <f>IF(B168="","",IF(OR(C168="",D168="",E168=""),"Faltan datos",IF(COUNTIF(Pacientes!$A$2:$A$46,C168)=0,"Código no registrado",IF(F168&lt;=0,"Tiempo no válido",IF(F168&gt;60,"Revisar: más de 60 min","OK")))))</f>
        <v/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Manual</t>
        </is>
      </c>
      <c r="H169" s="67">
        <f>IF(B169="","",IF(OR(C169="",D169="",E169=""),"Faltan datos",IF(COUNTIF(Pacientes!$A$2:$A$46,C169)=0,"Código no registrado",IF(F169&lt;=0,"Tiempo no válido",IF(F169&gt;60,"Revisar: más de 60 min","OK")))))</f>
        <v/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Manual</t>
        </is>
      </c>
      <c r="H170" s="67">
        <f>IF(B170="","",IF(OR(C170="",D170="",E170=""),"Faltan datos",IF(COUNTIF(Pacientes!$A$2:$A$46,C170)=0,"Código no registrado",IF(F170&lt;=0,"Tiempo no válido",IF(F170&gt;60,"Revisar: más de 60 min","OK")))))</f>
        <v/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Manual</t>
        </is>
      </c>
      <c r="H171" s="67">
        <f>IF(B171="","",IF(OR(C171="",D171="",E171=""),"Faltan datos",IF(COUNTIF(Pacientes!$A$2:$A$46,C171)=0,"Código no registrado",IF(F171&lt;=0,"Tiempo no válido",IF(F171&gt;60,"Revisar: más de 60 min","OK")))))</f>
        <v/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Manual</t>
        </is>
      </c>
      <c r="H172" s="67">
        <f>IF(B172="","",IF(OR(C172="",D172="",E172=""),"Faltan datos",IF(COUNTIF(Pacientes!$A$2:$A$46,C172)=0,"Código no registrado",IF(F172&lt;=0,"Tiempo no válido",IF(F172&gt;60,"Revisar: más de 60 min","OK")))))</f>
        <v/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Manual</t>
        </is>
      </c>
      <c r="H173" s="67">
        <f>IF(B173="","",IF(OR(C173="",D173="",E173=""),"Faltan datos",IF(COUNTIF(Pacientes!$A$2:$A$46,C173)=0,"Código no registrado",IF(F173&lt;=0,"Tiempo no válido",IF(F173&gt;60,"Revisar: más de 60 min","OK")))))</f>
        <v/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Manual</t>
        </is>
      </c>
      <c r="H174" s="67">
        <f>IF(B174="","",IF(OR(C174="",D174="",E174=""),"Faltan datos",IF(COUNTIF(Pacientes!$A$2:$A$46,C174)=0,"Código no registrado",IF(F174&lt;=0,"Tiempo no válido",IF(F174&gt;60,"Revisar: más de 60 min","OK")))))</f>
        <v/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Manual</t>
        </is>
      </c>
      <c r="H175" s="67">
        <f>IF(B175="","",IF(OR(C175="",D175="",E175=""),"Faltan datos",IF(COUNTIF(Pacientes!$A$2:$A$46,C175)=0,"Código no registrado",IF(F175&lt;=0,"Tiempo no válido",IF(F175&gt;60,"Revisar: más de 60 min","OK")))))</f>
        <v/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Manual</t>
        </is>
      </c>
      <c r="H176" s="67">
        <f>IF(B176="","",IF(OR(C176="",D176="",E176=""),"Faltan datos",IF(COUNTIF(Pacientes!$A$2:$A$46,C176)=0,"Código no registrado",IF(F176&lt;=0,"Tiempo no válido",IF(F176&gt;60,"Revisar: más de 60 min","OK")))))</f>
        <v/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Manual</t>
        </is>
      </c>
      <c r="H177" s="67">
        <f>IF(B177="","",IF(OR(C177="",D177="",E177=""),"Faltan datos",IF(COUNTIF(Pacientes!$A$2:$A$46,C177)=0,"Código no registrado",IF(F177&lt;=0,"Tiempo no válido",IF(F177&gt;60,"Revisar: más de 60 min","OK")))))</f>
        <v/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Manual</t>
        </is>
      </c>
      <c r="H178" s="67">
        <f>IF(B178="","",IF(OR(C178="",D178="",E178=""),"Faltan datos",IF(COUNTIF(Pacientes!$A$2:$A$46,C178)=0,"Código no registrado",IF(F178&lt;=0,"Tiempo no válido",IF(F178&gt;60,"Revisar: más de 60 min","OK")))))</f>
        <v/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Manual</t>
        </is>
      </c>
      <c r="H179" s="67">
        <f>IF(B179="","",IF(OR(C179="",D179="",E179=""),"Faltan datos",IF(COUNTIF(Pacientes!$A$2:$A$46,C179)=0,"Código no registrado",IF(F179&lt;=0,"Tiempo no válido",IF(F179&gt;60,"Revisar: más de 60 min","OK")))))</f>
        <v/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Manual</t>
        </is>
      </c>
      <c r="H180" s="67">
        <f>IF(B180="","",IF(OR(C180="",D180="",E180=""),"Faltan datos",IF(COUNTIF(Pacientes!$A$2:$A$46,C180)=0,"Código no registrado",IF(F180&lt;=0,"Tiempo no válido",IF(F180&gt;60,"Revisar: más de 60 min","OK")))))</f>
        <v/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Manual</t>
        </is>
      </c>
      <c r="H181" s="67">
        <f>IF(B181="","",IF(OR(C181="",D181="",E181=""),"Faltan datos",IF(COUNTIF(Pacientes!$A$2:$A$46,C181)=0,"Código no registrado",IF(F181&lt;=0,"Tiempo no válido",IF(F181&gt;60,"Revisar: más de 60 min","OK")))))</f>
        <v/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Manual</t>
        </is>
      </c>
      <c r="H182" s="67">
        <f>IF(B182="","",IF(OR(C182="",D182="",E182=""),"Faltan datos",IF(COUNTIF(Pacientes!$A$2:$A$46,C182)=0,"Código no registrado",IF(F182&lt;=0,"Tiempo no válido",IF(F182&gt;60,"Revisar: más de 60 min","OK")))))</f>
        <v/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Manual</t>
        </is>
      </c>
      <c r="H183" s="67">
        <f>IF(B183="","",IF(OR(C183="",D183="",E183=""),"Faltan datos",IF(COUNTIF(Pacientes!$A$2:$A$46,C183)=0,"Código no registrado",IF(F183&lt;=0,"Tiempo no válido",IF(F183&gt;60,"Revisar: más de 60 min","OK")))))</f>
        <v/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Manual</t>
        </is>
      </c>
      <c r="H184" s="67">
        <f>IF(B184="","",IF(OR(C184="",D184="",E184=""),"Faltan datos",IF(COUNTIF(Pacientes!$A$2:$A$46,C184)=0,"Código no registrado",IF(F184&lt;=0,"Tiempo no válido",IF(F184&gt;60,"Revisar: más de 60 min","OK")))))</f>
        <v/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Manual</t>
        </is>
      </c>
      <c r="H185" s="67">
        <f>IF(B185="","",IF(OR(C185="",D185="",E185=""),"Faltan datos",IF(COUNTIF(Pacientes!$A$2:$A$46,C185)=0,"Código no registrado",IF(F185&lt;=0,"Tiempo no válido",IF(F185&gt;60,"Revisar: más de 60 min","OK")))))</f>
        <v/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Manual</t>
        </is>
      </c>
      <c r="H186" s="67">
        <f>IF(B186="","",IF(OR(C186="",D186="",E186=""),"Faltan datos",IF(COUNTIF(Pacientes!$A$2:$A$46,C186)=0,"Código no registrado",IF(F186&lt;=0,"Tiempo no válido",IF(F186&gt;60,"Revisar: más de 60 min","OK")))))</f>
        <v/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Manual</t>
        </is>
      </c>
      <c r="H187" s="67">
        <f>IF(B187="","",IF(OR(C187="",D187="",E187=""),"Faltan datos",IF(COUNTIF(Pacientes!$A$2:$A$46,C187)=0,"Código no registrado",IF(F187&lt;=0,"Tiempo no válido",IF(F187&gt;60,"Revisar: más de 60 min","OK")))))</f>
        <v/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Manual</t>
        </is>
      </c>
      <c r="H188" s="67">
        <f>IF(B188="","",IF(OR(C188="",D188="",E188=""),"Faltan datos",IF(COUNTIF(Pacientes!$A$2:$A$46,C188)=0,"Código no registrado",IF(F188&lt;=0,"Tiempo no válido",IF(F188&gt;60,"Revisar: más de 60 min","OK")))))</f>
        <v/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Manual</t>
        </is>
      </c>
      <c r="H189" s="67">
        <f>IF(B189="","",IF(OR(C189="",D189="",E189=""),"Faltan datos",IF(COUNTIF(Pacientes!$A$2:$A$46,C189)=0,"Código no registrado",IF(F189&lt;=0,"Tiempo no válido",IF(F189&gt;60,"Revisar: más de 60 min","OK")))))</f>
        <v/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Manual</t>
        </is>
      </c>
      <c r="H190" s="67">
        <f>IF(B190="","",IF(OR(C190="",D190="",E190=""),"Faltan datos",IF(COUNTIF(Pacientes!$A$2:$A$46,C190)=0,"Código no registrado",IF(F190&lt;=0,"Tiempo no válido",IF(F190&gt;60,"Revisar: más de 60 min","OK")))))</f>
        <v/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Manual</t>
        </is>
      </c>
      <c r="H191" s="67">
        <f>IF(B191="","",IF(OR(C191="",D191="",E191=""),"Faltan datos",IF(COUNTIF(Pacientes!$A$2:$A$46,C191)=0,"Código no registrado",IF(F191&lt;=0,"Tiempo no válido",IF(F191&gt;60,"Revisar: más de 60 min","OK")))))</f>
        <v/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Manual</t>
        </is>
      </c>
      <c r="H192" s="67">
        <f>IF(B192="","",IF(OR(C192="",D192="",E192=""),"Faltan datos",IF(COUNTIF(Pacientes!$A$2:$A$46,C192)=0,"Código no registrado",IF(F192&lt;=0,"Tiempo no válido",IF(F192&gt;60,"Revisar: más de 60 min","OK")))))</f>
        <v/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Manual</t>
        </is>
      </c>
      <c r="H193" s="67">
        <f>IF(B193="","",IF(OR(C193="",D193="",E193=""),"Faltan datos",IF(COUNTIF(Pacientes!$A$2:$A$46,C193)=0,"Código no registrado",IF(F193&lt;=0,"Tiempo no válido",IF(F193&gt;60,"Revisar: más de 60 min","OK")))))</f>
        <v/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Manual</t>
        </is>
      </c>
      <c r="H194" s="67">
        <f>IF(B194="","",IF(OR(C194="",D194="",E194=""),"Faltan datos",IF(COUNTIF(Pacientes!$A$2:$A$46,C194)=0,"Código no registrado",IF(F194&lt;=0,"Tiempo no válido",IF(F194&gt;60,"Revisar: más de 60 min","OK")))))</f>
        <v/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Manual</t>
        </is>
      </c>
      <c r="H195" s="67">
        <f>IF(B195="","",IF(OR(C195="",D195="",E195=""),"Faltan datos",IF(COUNTIF(Pacientes!$A$2:$A$46,C195)=0,"Código no registrado",IF(F195&lt;=0,"Tiempo no válido",IF(F195&gt;60,"Revisar: más de 60 min","OK")))))</f>
        <v/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Manual</t>
        </is>
      </c>
      <c r="H196" s="67">
        <f>IF(B196="","",IF(OR(C196="",D196="",E196=""),"Faltan datos",IF(COUNTIF(Pacientes!$A$2:$A$46,C196)=0,"Código no registrado",IF(F196&lt;=0,"Tiempo no válido",IF(F196&gt;60,"Revisar: más de 60 min","OK")))))</f>
        <v/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Manual</t>
        </is>
      </c>
      <c r="H197" s="67">
        <f>IF(B197="","",IF(OR(C197="",D197="",E197=""),"Faltan datos",IF(COUNTIF(Pacientes!$A$2:$A$46,C197)=0,"Código no registrado",IF(F197&lt;=0,"Tiempo no válido",IF(F197&gt;60,"Revisar: más de 60 min","OK")))))</f>
        <v/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Manual</t>
        </is>
      </c>
      <c r="H198" s="67">
        <f>IF(B198="","",IF(OR(C198="",D198="",E198=""),"Faltan datos",IF(COUNTIF(Pacientes!$A$2:$A$46,C198)=0,"Código no registrado",IF(F198&lt;=0,"Tiempo no válido",IF(F198&gt;60,"Revisar: más de 60 min","OK")))))</f>
        <v/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Manual</t>
        </is>
      </c>
      <c r="H199" s="67">
        <f>IF(B199="","",IF(OR(C199="",D199="",E199=""),"Faltan datos",IF(COUNTIF(Pacientes!$A$2:$A$46,C199)=0,"Código no registrado",IF(F199&lt;=0,"Tiempo no válido",IF(F199&gt;60,"Revisar: más de 60 min","OK")))))</f>
        <v/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Manual</t>
        </is>
      </c>
      <c r="H200" s="67">
        <f>IF(B200="","",IF(OR(C200="",D200="",E200=""),"Faltan datos",IF(COUNTIF(Pacientes!$A$2:$A$46,C200)=0,"Código no registrado",IF(F200&lt;=0,"Tiempo no válido",IF(F200&gt;60,"Revisar: más de 60 min","OK")))))</f>
        <v/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Manual</t>
        </is>
      </c>
      <c r="H201" s="67">
        <f>IF(B201="","",IF(OR(C201="",D201="",E201=""),"Faltan datos",IF(COUNTIF(Pacientes!$A$2:$A$46,C201)=0,"Código no registrado",IF(F201&lt;=0,"Tiempo no válido",IF(F201&gt;60,"Revisar: más de 60 min","OK")))))</f>
        <v/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Manual</t>
        </is>
      </c>
      <c r="H202" s="67">
        <f>IF(B202="","",IF(OR(C202="",D202="",E202=""),"Faltan datos",IF(COUNTIF(Pacientes!$A$2:$A$46,C202)=0,"Código no registrado",IF(F202&lt;=0,"Tiempo no válido",IF(F202&gt;60,"Revisar: más de 60 min","OK")))))</f>
        <v/>
      </c>
    </row>
  </sheetData>
  <conditionalFormatting sqref="H3:H202">
    <cfRule type="expression" priority="1" dxfId="0">
      <formula>AND(H3&lt;&gt;"",H3&lt;&gt;"OK")</formula>
    </cfRule>
  </conditionalFormatting>
  <dataValidations count="1">
    <dataValidation sqref="B3:B202" showDropDown="0" showInputMessage="0" showErrorMessage="0" allowBlank="1" type="list" errorStyle="stop" operator="between">
      <formula1>Listas!$A$2:$A$14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  <col width="26" customWidth="1" style="27" min="8" max="8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Sistema</t>
        </is>
      </c>
    </row>
    <row r="3" ht="15" customHeight="1" s="27">
      <c r="A3" s="39">
        <f>IF(B3="","",ROW()-2)</f>
        <v/>
      </c>
      <c r="B3" s="50" t="n">
        <v>46267</v>
      </c>
      <c r="C3" s="40" t="inlineStr">
        <is>
          <t>SIM-11</t>
        </is>
      </c>
      <c r="D3" s="51" t="n">
        <v>0.3713425925925926</v>
      </c>
      <c r="E3" s="51" t="n">
        <v>0.3745138888888889</v>
      </c>
      <c r="F3" s="52">
        <f>IF(OR(D3="",E3=""),"",(E3-D3)*1440)</f>
        <v/>
      </c>
      <c r="G3" s="53" t="inlineStr">
        <is>
          <t>Sistema</t>
        </is>
      </c>
      <c r="H3" s="67">
        <f>IF(B3="","",IF(OR(C3="",D3="",E3=""),"Faltan datos",IF(COUNTIF(Pacientes!$A$2:$A$46,C3)=0,"Código no registrado",IF(F3&lt;=0,"Tiempo no válido",IF(F3&gt;60,"Revisar: más de 60 min","OK")))))</f>
        <v/>
      </c>
    </row>
    <row r="4" ht="15" customHeight="1" s="27">
      <c r="A4" s="39">
        <f>IF(B4="","",ROW()-2)</f>
        <v/>
      </c>
      <c r="B4" s="50" t="n">
        <v>46269</v>
      </c>
      <c r="C4" s="40" t="inlineStr">
        <is>
          <t>SIM-02</t>
        </is>
      </c>
      <c r="D4" s="51" t="n">
        <v>0.4628125</v>
      </c>
      <c r="E4" s="51" t="n">
        <v>0.4657638888888889</v>
      </c>
      <c r="F4" s="52">
        <f>IF(OR(D4="",E4=""),"",(E4-D4)*1440)</f>
        <v/>
      </c>
      <c r="G4" s="53" t="inlineStr">
        <is>
          <t>Sistema</t>
        </is>
      </c>
      <c r="H4" s="67">
        <f>IF(B4="","",IF(OR(C4="",D4="",E4=""),"Faltan datos",IF(COUNTIF(Pacientes!$A$2:$A$46,C4)=0,"Código no registrado",IF(F4&lt;=0,"Tiempo no válido",IF(F4&gt;60,"Revisar: más de 60 min","OK")))))</f>
        <v/>
      </c>
    </row>
    <row r="5" ht="15" customHeight="1" s="27">
      <c r="A5" s="39">
        <f>IF(B5="","",ROW()-2)</f>
        <v/>
      </c>
      <c r="B5" s="50" t="n">
        <v>46269</v>
      </c>
      <c r="C5" s="40" t="inlineStr">
        <is>
          <t>SIM-07</t>
        </is>
      </c>
      <c r="D5" s="51" t="n">
        <v>0.4489814814814815</v>
      </c>
      <c r="E5" s="51" t="n">
        <v>0.4508680555555555</v>
      </c>
      <c r="F5" s="52">
        <f>IF(OR(D5="",E5=""),"",(E5-D5)*1440)</f>
        <v/>
      </c>
      <c r="G5" s="53" t="inlineStr">
        <is>
          <t>Sistema</t>
        </is>
      </c>
      <c r="H5" s="67">
        <f>IF(B5="","",IF(OR(C5="",D5="",E5=""),"Faltan datos",IF(COUNTIF(Pacientes!$A$2:$A$46,C5)=0,"Código no registrado",IF(F5&lt;=0,"Tiempo no válido",IF(F5&gt;60,"Revisar: más de 60 min","OK")))))</f>
        <v/>
      </c>
    </row>
    <row r="6" ht="15" customHeight="1" s="27">
      <c r="A6" s="39">
        <f>IF(B6="","",ROW()-2)</f>
        <v/>
      </c>
      <c r="B6" s="50" t="n">
        <v>46269</v>
      </c>
      <c r="C6" s="40" t="inlineStr">
        <is>
          <t>SIM-21</t>
        </is>
      </c>
      <c r="D6" s="51" t="n">
        <v>0.4769907407407407</v>
      </c>
      <c r="E6" s="51" t="n">
        <v>0.4788425925925926</v>
      </c>
      <c r="F6" s="52">
        <f>IF(OR(D6="",E6=""),"",(E6-D6)*1440)</f>
        <v/>
      </c>
      <c r="G6" s="53" t="inlineStr">
        <is>
          <t>Sistema</t>
        </is>
      </c>
      <c r="H6" s="67">
        <f>IF(B6="","",IF(OR(C6="",D6="",E6=""),"Faltan datos",IF(COUNTIF(Pacientes!$A$2:$A$46,C6)=0,"Código no registrado",IF(F6&lt;=0,"Tiempo no válido",IF(F6&gt;60,"Revisar: más de 60 min","OK")))))</f>
        <v/>
      </c>
    </row>
    <row r="7" ht="15" customHeight="1" s="27">
      <c r="A7" s="39">
        <f>IF(B7="","",ROW()-2)</f>
        <v/>
      </c>
      <c r="B7" s="50" t="n">
        <v>46269</v>
      </c>
      <c r="C7" s="40" t="inlineStr">
        <is>
          <t>SIM-21</t>
        </is>
      </c>
      <c r="D7" s="51" t="n">
        <v>0.4423032407407407</v>
      </c>
      <c r="E7" s="51" t="n">
        <v>0.4446990740740741</v>
      </c>
      <c r="F7" s="52">
        <f>IF(OR(D7="",E7=""),"",(E7-D7)*1440)</f>
        <v/>
      </c>
      <c r="G7" s="53" t="inlineStr">
        <is>
          <t>Sistema</t>
        </is>
      </c>
      <c r="H7" s="67">
        <f>IF(B7="","",IF(OR(C7="",D7="",E7=""),"Faltan datos",IF(COUNTIF(Pacientes!$A$2:$A$46,C7)=0,"Código no registrado",IF(F7&lt;=0,"Tiempo no válido",IF(F7&gt;60,"Revisar: más de 60 min","OK")))))</f>
        <v/>
      </c>
    </row>
    <row r="8" ht="15" customHeight="1" s="27">
      <c r="A8" s="39">
        <f>IF(B8="","",ROW()-2)</f>
        <v/>
      </c>
      <c r="B8" s="50" t="n">
        <v>46272</v>
      </c>
      <c r="C8" s="40" t="inlineStr">
        <is>
          <t>SIM-08</t>
        </is>
      </c>
      <c r="D8" s="51" t="n">
        <v>0.4056481481481481</v>
      </c>
      <c r="E8" s="51" t="n">
        <v>0.4099189814814815</v>
      </c>
      <c r="F8" s="52">
        <f>IF(OR(D8="",E8=""),"",(E8-D8)*1440)</f>
        <v/>
      </c>
      <c r="G8" s="53" t="inlineStr">
        <is>
          <t>Sistema</t>
        </is>
      </c>
      <c r="H8" s="67">
        <f>IF(B8="","",IF(OR(C8="",D8="",E8=""),"Faltan datos",IF(COUNTIF(Pacientes!$A$2:$A$46,C8)=0,"Código no registrado",IF(F8&lt;=0,"Tiempo no válido",IF(F8&gt;60,"Revisar: más de 60 min","OK")))))</f>
        <v/>
      </c>
    </row>
    <row r="9" ht="15" customHeight="1" s="27">
      <c r="A9" s="39">
        <f>IF(B9="","",ROW()-2)</f>
        <v/>
      </c>
      <c r="B9" s="50" t="n">
        <v>46274</v>
      </c>
      <c r="C9" s="40" t="inlineStr">
        <is>
          <t>SIM-07</t>
        </is>
      </c>
      <c r="D9" s="51" t="n">
        <v>0.4077777777777778</v>
      </c>
      <c r="E9" s="51" t="n">
        <v>0.409375</v>
      </c>
      <c r="F9" s="52">
        <f>IF(OR(D9="",E9=""),"",(E9-D9)*1440)</f>
        <v/>
      </c>
      <c r="G9" s="53" t="inlineStr">
        <is>
          <t>Sistema</t>
        </is>
      </c>
      <c r="H9" s="67">
        <f>IF(B9="","",IF(OR(C9="",D9="",E9=""),"Faltan datos",IF(COUNTIF(Pacientes!$A$2:$A$46,C9)=0,"Código no registrado",IF(F9&lt;=0,"Tiempo no válido",IF(F9&gt;60,"Revisar: más de 60 min","OK")))))</f>
        <v/>
      </c>
    </row>
    <row r="10" ht="15" customHeight="1" s="27">
      <c r="A10" s="39">
        <f>IF(B10="","",ROW()-2)</f>
        <v/>
      </c>
      <c r="B10" s="50" t="n">
        <v>46276</v>
      </c>
      <c r="C10" s="40" t="inlineStr">
        <is>
          <t>SIM-21</t>
        </is>
      </c>
      <c r="D10" s="51" t="n">
        <v>0.4396064814814815</v>
      </c>
      <c r="E10" s="51" t="n">
        <v>0.4436689814814815</v>
      </c>
      <c r="F10" s="52">
        <f>IF(OR(D10="",E10=""),"",(E10-D10)*1440)</f>
        <v/>
      </c>
      <c r="G10" s="53" t="inlineStr">
        <is>
          <t>Sistema</t>
        </is>
      </c>
      <c r="H10" s="67">
        <f>IF(B10="","",IF(OR(C10="",D10="",E10=""),"Faltan datos",IF(COUNTIF(Pacientes!$A$2:$A$46,C10)=0,"Código no registrado",IF(F10&lt;=0,"Tiempo no válido",IF(F10&gt;60,"Revisar: más de 60 min","OK")))))</f>
        <v/>
      </c>
    </row>
    <row r="11" ht="15" customHeight="1" s="27">
      <c r="A11" s="39">
        <f>IF(B11="","",ROW()-2)</f>
        <v/>
      </c>
      <c r="B11" s="50" t="n">
        <v>46276</v>
      </c>
      <c r="C11" s="40" t="inlineStr">
        <is>
          <t>SIM-21</t>
        </is>
      </c>
      <c r="D11" s="51" t="n">
        <v>0.3727777777777778</v>
      </c>
      <c r="E11" s="51" t="n">
        <v>0.3757175925925926</v>
      </c>
      <c r="F11" s="52">
        <f>IF(OR(D11="",E11=""),"",(E11-D11)*1440)</f>
        <v/>
      </c>
      <c r="G11" s="53" t="inlineStr">
        <is>
          <t>Sistema</t>
        </is>
      </c>
      <c r="H11" s="67">
        <f>IF(B11="","",IF(OR(C11="",D11="",E11=""),"Faltan datos",IF(COUNTIF(Pacientes!$A$2:$A$46,C11)=0,"Código no registrado",IF(F11&lt;=0,"Tiempo no válido",IF(F11&gt;60,"Revisar: más de 60 min","OK")))))</f>
        <v/>
      </c>
    </row>
    <row r="12" ht="15" customHeight="1" s="27">
      <c r="A12" s="39">
        <f>IF(B12="","",ROW()-2)</f>
        <v/>
      </c>
      <c r="B12" s="50" t="n">
        <v>46279</v>
      </c>
      <c r="C12" s="40" t="inlineStr">
        <is>
          <t>SIM-09</t>
        </is>
      </c>
      <c r="D12" s="51" t="n">
        <v>0.4647337962962963</v>
      </c>
      <c r="E12" s="51" t="n">
        <v>0.4668055555555555</v>
      </c>
      <c r="F12" s="52">
        <f>IF(OR(D12="",E12=""),"",(E12-D12)*1440)</f>
        <v/>
      </c>
      <c r="G12" s="53" t="inlineStr">
        <is>
          <t>Sistema</t>
        </is>
      </c>
      <c r="H12" s="67">
        <f>IF(B12="","",IF(OR(C12="",D12="",E12=""),"Faltan datos",IF(COUNTIF(Pacientes!$A$2:$A$46,C12)=0,"Código no registrado",IF(F12&lt;=0,"Tiempo no válido",IF(F12&gt;60,"Revisar: más de 60 min","OK")))))</f>
        <v/>
      </c>
    </row>
    <row r="13" ht="15" customHeight="1" s="27">
      <c r="A13" s="39">
        <f>IF(B13="","",ROW()-2)</f>
        <v/>
      </c>
      <c r="B13" s="50" t="n">
        <v>46281</v>
      </c>
      <c r="C13" s="40" t="inlineStr">
        <is>
          <t>SIM-14</t>
        </is>
      </c>
      <c r="D13" s="51" t="n">
        <v>0.3604398148148148</v>
      </c>
      <c r="E13" s="51" t="n">
        <v>0.3638425925925926</v>
      </c>
      <c r="F13" s="52">
        <f>IF(OR(D13="",E13=""),"",(E13-D13)*1440)</f>
        <v/>
      </c>
      <c r="G13" s="53" t="inlineStr">
        <is>
          <t>Sistema</t>
        </is>
      </c>
      <c r="H13" s="67">
        <f>IF(B13="","",IF(OR(C13="",D13="",E13=""),"Faltan datos",IF(COUNTIF(Pacientes!$A$2:$A$46,C13)=0,"Código no registrado",IF(F13&lt;=0,"Tiempo no válido",IF(F13&gt;60,"Revisar: más de 60 min","OK")))))</f>
        <v/>
      </c>
    </row>
    <row r="14" ht="15" customHeight="1" s="27">
      <c r="A14" s="39">
        <f>IF(B14="","",ROW()-2)</f>
        <v/>
      </c>
      <c r="B14" s="50" t="n">
        <v>46281</v>
      </c>
      <c r="C14" s="40" t="inlineStr">
        <is>
          <t>SIM-21</t>
        </is>
      </c>
      <c r="D14" s="51" t="n">
        <v>0.3585995370370371</v>
      </c>
      <c r="E14" s="51" t="n">
        <v>0.3638078703703704</v>
      </c>
      <c r="F14" s="52">
        <f>IF(OR(D14="",E14=""),"",(E14-D14)*1440)</f>
        <v/>
      </c>
      <c r="G14" s="53" t="inlineStr">
        <is>
          <t>Sistema</t>
        </is>
      </c>
      <c r="H14" s="67">
        <f>IF(B14="","",IF(OR(C14="",D14="",E14=""),"Faltan datos",IF(COUNTIF(Pacientes!$A$2:$A$46,C14)=0,"Código no registrado",IF(F14&lt;=0,"Tiempo no válido",IF(F14&gt;60,"Revisar: más de 60 min","OK")))))</f>
        <v/>
      </c>
    </row>
    <row r="15" ht="15" customHeight="1" s="27">
      <c r="A15" s="39">
        <f>IF(B15="","",ROW()-2)</f>
        <v/>
      </c>
      <c r="B15" s="50" t="n">
        <v>46283</v>
      </c>
      <c r="C15" s="40" t="inlineStr">
        <is>
          <t>SIM-14</t>
        </is>
      </c>
      <c r="D15" s="51" t="n">
        <v>0.4369328703703704</v>
      </c>
      <c r="E15" s="51" t="n">
        <v>0.4403703703703704</v>
      </c>
      <c r="F15" s="52">
        <f>IF(OR(D15="",E15=""),"",(E15-D15)*1440)</f>
        <v/>
      </c>
      <c r="G15" s="53" t="inlineStr">
        <is>
          <t>Sistema</t>
        </is>
      </c>
      <c r="H15" s="67">
        <f>IF(B15="","",IF(OR(C15="",D15="",E15=""),"Faltan datos",IF(COUNTIF(Pacientes!$A$2:$A$46,C15)=0,"Código no registrado",IF(F15&lt;=0,"Tiempo no válido",IF(F15&gt;60,"Revisar: más de 60 min","OK")))))</f>
        <v/>
      </c>
    </row>
    <row r="16" ht="15" customHeight="1" s="27">
      <c r="A16" s="39">
        <f>IF(B16="","",ROW()-2)</f>
        <v/>
      </c>
      <c r="B16" s="50" t="n">
        <v>46286</v>
      </c>
      <c r="C16" s="40" t="inlineStr">
        <is>
          <t>SIM-10</t>
        </is>
      </c>
      <c r="D16" s="51" t="n">
        <v>0.4785995370370371</v>
      </c>
      <c r="E16" s="51" t="n">
        <v>0.4816782407407407</v>
      </c>
      <c r="F16" s="52">
        <f>IF(OR(D16="",E16=""),"",(E16-D16)*1440)</f>
        <v/>
      </c>
      <c r="G16" s="53" t="inlineStr">
        <is>
          <t>Sistema</t>
        </is>
      </c>
      <c r="H16" s="67">
        <f>IF(B16="","",IF(OR(C16="",D16="",E16=""),"Faltan datos",IF(COUNTIF(Pacientes!$A$2:$A$46,C16)=0,"Código no registrado",IF(F16&lt;=0,"Tiempo no válido",IF(F16&gt;60,"Revisar: más de 60 min","OK")))))</f>
        <v/>
      </c>
    </row>
    <row r="17" ht="15" customHeight="1" s="27">
      <c r="A17" s="39">
        <f>IF(B17="","",ROW()-2)</f>
        <v/>
      </c>
      <c r="B17" s="50" t="n">
        <v>46288</v>
      </c>
      <c r="C17" s="40" t="inlineStr">
        <is>
          <t>SIM-25</t>
        </is>
      </c>
      <c r="D17" s="51" t="n">
        <v>0.4781944444444444</v>
      </c>
      <c r="E17" s="51" t="n">
        <v>0.4821643518518519</v>
      </c>
      <c r="F17" s="52">
        <f>IF(OR(D17="",E17=""),"",(E17-D17)*1440)</f>
        <v/>
      </c>
      <c r="G17" s="53" t="inlineStr">
        <is>
          <t>Sistema</t>
        </is>
      </c>
      <c r="H17" s="67">
        <f>IF(B17="","",IF(OR(C17="",D17="",E17=""),"Faltan datos",IF(COUNTIF(Pacientes!$A$2:$A$46,C17)=0,"Código no registrado",IF(F17&lt;=0,"Tiempo no válido",IF(F17&gt;60,"Revisar: más de 60 min","OK")))))</f>
        <v/>
      </c>
    </row>
    <row r="18" ht="15" customHeight="1" s="27">
      <c r="A18" s="39">
        <f>IF(B18="","",ROW()-2)</f>
        <v/>
      </c>
      <c r="B18" s="50" t="n">
        <v>46288</v>
      </c>
      <c r="C18" s="40" t="inlineStr">
        <is>
          <t>SIM-15</t>
        </is>
      </c>
      <c r="D18" s="51" t="n">
        <v>0.3943402777777778</v>
      </c>
      <c r="E18" s="51" t="n">
        <v>0.3971527777777778</v>
      </c>
      <c r="F18" s="52">
        <f>IF(OR(D18="",E18=""),"",(E18-D18)*1440)</f>
        <v/>
      </c>
      <c r="G18" s="53" t="inlineStr">
        <is>
          <t>Sistema</t>
        </is>
      </c>
      <c r="H18" s="67">
        <f>IF(B18="","",IF(OR(C18="",D18="",E18=""),"Faltan datos",IF(COUNTIF(Pacientes!$A$2:$A$46,C18)=0,"Código no registrado",IF(F18&lt;=0,"Tiempo no válido",IF(F18&gt;60,"Revisar: más de 60 min","OK")))))</f>
        <v/>
      </c>
    </row>
    <row r="19" ht="15" customHeight="1" s="27">
      <c r="A19" s="39">
        <f>IF(B19="","",ROW()-2)</f>
        <v/>
      </c>
      <c r="B19" s="50" t="n">
        <v>46290</v>
      </c>
      <c r="C19" s="40" t="inlineStr">
        <is>
          <t>SIM-23</t>
        </is>
      </c>
      <c r="D19" s="51" t="n">
        <v>0.4508449074074074</v>
      </c>
      <c r="E19" s="51" t="n">
        <v>0.4545138888888889</v>
      </c>
      <c r="F19" s="52">
        <f>IF(OR(D19="",E19=""),"",(E19-D19)*1440)</f>
        <v/>
      </c>
      <c r="G19" s="53" t="inlineStr">
        <is>
          <t>Sistema</t>
        </is>
      </c>
      <c r="H19" s="67">
        <f>IF(B19="","",IF(OR(C19="",D19="",E19=""),"Faltan datos",IF(COUNTIF(Pacientes!$A$2:$A$46,C19)=0,"Código no registrado",IF(F19&lt;=0,"Tiempo no válido",IF(F19&gt;60,"Revisar: más de 60 min","OK")))))</f>
        <v/>
      </c>
    </row>
    <row r="20" ht="15" customHeight="1" s="27">
      <c r="A20" s="39">
        <f>IF(B20="","",ROW()-2)</f>
        <v/>
      </c>
      <c r="B20" s="50" t="n">
        <v>46293</v>
      </c>
      <c r="C20" s="40" t="inlineStr">
        <is>
          <t>SIM-23</t>
        </is>
      </c>
      <c r="D20" s="51" t="n">
        <v>0.4342939814814815</v>
      </c>
      <c r="E20" s="51" t="n">
        <v>0.4379976851851852</v>
      </c>
      <c r="F20" s="52">
        <f>IF(OR(D20="",E20=""),"",(E20-D20)*1440)</f>
        <v/>
      </c>
      <c r="G20" s="53" t="inlineStr">
        <is>
          <t>Sistema</t>
        </is>
      </c>
      <c r="H20" s="67">
        <f>IF(B20="","",IF(OR(C20="",D20="",E20=""),"Faltan datos",IF(COUNTIF(Pacientes!$A$2:$A$46,C20)=0,"Código no registrado",IF(F20&lt;=0,"Tiempo no válido",IF(F20&gt;60,"Revisar: más de 60 min","OK")))))</f>
        <v/>
      </c>
    </row>
    <row r="21" ht="15" customHeight="1" s="27">
      <c r="A21" s="39">
        <f>IF(B21="","",ROW()-2)</f>
        <v/>
      </c>
      <c r="B21" s="50" t="n">
        <v>46295</v>
      </c>
      <c r="C21" s="40" t="inlineStr">
        <is>
          <t>SIM-18</t>
        </is>
      </c>
      <c r="D21" s="51" t="n">
        <v>0.3962731481481481</v>
      </c>
      <c r="E21" s="51" t="n">
        <v>0.4</v>
      </c>
      <c r="F21" s="52">
        <f>IF(OR(D21="",E21=""),"",(E21-D21)*1440)</f>
        <v/>
      </c>
      <c r="G21" s="53" t="inlineStr">
        <is>
          <t>Sistema</t>
        </is>
      </c>
      <c r="H21" s="67">
        <f>IF(B21="","",IF(OR(C21="",D21="",E21=""),"Faltan datos",IF(COUNTIF(Pacientes!$A$2:$A$46,C21)=0,"Código no registrado",IF(F21&lt;=0,"Tiempo no válido",IF(F21&gt;60,"Revisar: más de 60 min","OK")))))</f>
        <v/>
      </c>
    </row>
    <row r="22" ht="15" customHeight="1" s="27">
      <c r="A22" s="39">
        <f>IF(B22="","",ROW()-2)</f>
        <v/>
      </c>
      <c r="B22" s="50" t="n">
        <v>46295</v>
      </c>
      <c r="C22" s="40" t="inlineStr">
        <is>
          <t>SIM-01</t>
        </is>
      </c>
      <c r="D22" s="51" t="n">
        <v>0.4670949074074074</v>
      </c>
      <c r="E22" s="51" t="n">
        <v>0.4699652777777778</v>
      </c>
      <c r="F22" s="52">
        <f>IF(OR(D22="",E22=""),"",(E22-D22)*1440)</f>
        <v/>
      </c>
      <c r="G22" s="53" t="inlineStr">
        <is>
          <t>Sistema</t>
        </is>
      </c>
      <c r="H22" s="67">
        <f>IF(B22="","",IF(OR(C22="",D22="",E22=""),"Faltan datos",IF(COUNTIF(Pacientes!$A$2:$A$46,C22)=0,"Código no registrado",IF(F22&lt;=0,"Tiempo no válido",IF(F22&gt;60,"Revisar: más de 60 min","OK")))))</f>
        <v/>
      </c>
    </row>
    <row r="23" ht="15" customHeight="1" s="27">
      <c r="A23" s="39">
        <f>IF(B23="","",ROW()-2)</f>
        <v/>
      </c>
      <c r="B23" s="50" t="n">
        <v>46295</v>
      </c>
      <c r="C23" s="40" t="inlineStr">
        <is>
          <t>SIM-07</t>
        </is>
      </c>
      <c r="D23" s="51" t="n">
        <v>0.4627199074074074</v>
      </c>
      <c r="E23" s="51" t="n">
        <v>0.4657291666666667</v>
      </c>
      <c r="F23" s="52">
        <f>IF(OR(D23="",E23=""),"",(E23-D23)*1440)</f>
        <v/>
      </c>
      <c r="G23" s="53" t="inlineStr">
        <is>
          <t>Sistema</t>
        </is>
      </c>
      <c r="H23" s="67">
        <f>IF(B23="","",IF(OR(C23="",D23="",E23=""),"Faltan datos",IF(COUNTIF(Pacientes!$A$2:$A$46,C23)=0,"Código no registrado",IF(F23&lt;=0,"Tiempo no válido",IF(F23&gt;60,"Revisar: más de 60 min","OK")))))</f>
        <v/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Sistema</t>
        </is>
      </c>
      <c r="H24" s="67">
        <f>IF(B24="","",IF(OR(C24="",D24="",E24=""),"Faltan datos",IF(COUNTIF(Pacientes!$A$2:$A$46,C24)=0,"Código no registrado",IF(F24&lt;=0,"Tiempo no válido",IF(F24&gt;60,"Revisar: más de 60 min","OK")))))</f>
        <v/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Sistema</t>
        </is>
      </c>
      <c r="H25" s="67">
        <f>IF(B25="","",IF(OR(C25="",D25="",E25=""),"Faltan datos",IF(COUNTIF(Pacientes!$A$2:$A$46,C25)=0,"Código no registrado",IF(F25&lt;=0,"Tiempo no válido",IF(F25&gt;60,"Revisar: más de 60 min","OK")))))</f>
        <v/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Sistema</t>
        </is>
      </c>
      <c r="H26" s="67">
        <f>IF(B26="","",IF(OR(C26="",D26="",E26=""),"Faltan datos",IF(COUNTIF(Pacientes!$A$2:$A$46,C26)=0,"Código no registrado",IF(F26&lt;=0,"Tiempo no válido",IF(F26&gt;60,"Revisar: más de 60 min","OK")))))</f>
        <v/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Sistema</t>
        </is>
      </c>
      <c r="H27" s="67">
        <f>IF(B27="","",IF(OR(C27="",D27="",E27=""),"Faltan datos",IF(COUNTIF(Pacientes!$A$2:$A$46,C27)=0,"Código no registrado",IF(F27&lt;=0,"Tiempo no válido",IF(F27&gt;60,"Revisar: más de 60 min","OK")))))</f>
        <v/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Sistema</t>
        </is>
      </c>
      <c r="H28" s="67">
        <f>IF(B28="","",IF(OR(C28="",D28="",E28=""),"Faltan datos",IF(COUNTIF(Pacientes!$A$2:$A$46,C28)=0,"Código no registrado",IF(F28&lt;=0,"Tiempo no válido",IF(F28&gt;60,"Revisar: más de 60 min","OK")))))</f>
        <v/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Sistema</t>
        </is>
      </c>
      <c r="H29" s="67">
        <f>IF(B29="","",IF(OR(C29="",D29="",E29=""),"Faltan datos",IF(COUNTIF(Pacientes!$A$2:$A$46,C29)=0,"Código no registrado",IF(F29&lt;=0,"Tiempo no válido",IF(F29&gt;60,"Revisar: más de 60 min","OK")))))</f>
        <v/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Sistema</t>
        </is>
      </c>
      <c r="H30" s="67">
        <f>IF(B30="","",IF(OR(C30="",D30="",E30=""),"Faltan datos",IF(COUNTIF(Pacientes!$A$2:$A$46,C30)=0,"Código no registrado",IF(F30&lt;=0,"Tiempo no válido",IF(F30&gt;60,"Revisar: más de 60 min","OK")))))</f>
        <v/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Sistema</t>
        </is>
      </c>
      <c r="H31" s="67">
        <f>IF(B31="","",IF(OR(C31="",D31="",E31=""),"Faltan datos",IF(COUNTIF(Pacientes!$A$2:$A$46,C31)=0,"Código no registrado",IF(F31&lt;=0,"Tiempo no válido",IF(F31&gt;60,"Revisar: más de 60 min","OK")))))</f>
        <v/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Sistema</t>
        </is>
      </c>
      <c r="H32" s="67">
        <f>IF(B32="","",IF(OR(C32="",D32="",E32=""),"Faltan datos",IF(COUNTIF(Pacientes!$A$2:$A$46,C32)=0,"Código no registrado",IF(F32&lt;=0,"Tiempo no válido",IF(F32&gt;60,"Revisar: más de 60 min","OK")))))</f>
        <v/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Sistema</t>
        </is>
      </c>
      <c r="H33" s="67">
        <f>IF(B33="","",IF(OR(C33="",D33="",E33=""),"Faltan datos",IF(COUNTIF(Pacientes!$A$2:$A$46,C33)=0,"Código no registrado",IF(F33&lt;=0,"Tiempo no válido",IF(F33&gt;60,"Revisar: más de 60 min","OK")))))</f>
        <v/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Sistema</t>
        </is>
      </c>
      <c r="H34" s="67">
        <f>IF(B34="","",IF(OR(C34="",D34="",E34=""),"Faltan datos",IF(COUNTIF(Pacientes!$A$2:$A$46,C34)=0,"Código no registrado",IF(F34&lt;=0,"Tiempo no válido",IF(F34&gt;60,"Revisar: más de 60 min","OK")))))</f>
        <v/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Sistema</t>
        </is>
      </c>
      <c r="H35" s="67">
        <f>IF(B35="","",IF(OR(C35="",D35="",E35=""),"Faltan datos",IF(COUNTIF(Pacientes!$A$2:$A$46,C35)=0,"Código no registrado",IF(F35&lt;=0,"Tiempo no válido",IF(F35&gt;60,"Revisar: más de 60 min","OK")))))</f>
        <v/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Sistema</t>
        </is>
      </c>
      <c r="H36" s="67">
        <f>IF(B36="","",IF(OR(C36="",D36="",E36=""),"Faltan datos",IF(COUNTIF(Pacientes!$A$2:$A$46,C36)=0,"Código no registrado",IF(F36&lt;=0,"Tiempo no válido",IF(F36&gt;60,"Revisar: más de 60 min","OK")))))</f>
        <v/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Sistema</t>
        </is>
      </c>
      <c r="H37" s="67">
        <f>IF(B37="","",IF(OR(C37="",D37="",E37=""),"Faltan datos",IF(COUNTIF(Pacientes!$A$2:$A$46,C37)=0,"Código no registrado",IF(F37&lt;=0,"Tiempo no válido",IF(F37&gt;60,"Revisar: más de 60 min","OK")))))</f>
        <v/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Sistema</t>
        </is>
      </c>
      <c r="H38" s="67">
        <f>IF(B38="","",IF(OR(C38="",D38="",E38=""),"Faltan datos",IF(COUNTIF(Pacientes!$A$2:$A$46,C38)=0,"Código no registrado",IF(F38&lt;=0,"Tiempo no válido",IF(F38&gt;60,"Revisar: más de 60 min","OK")))))</f>
        <v/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Sistema</t>
        </is>
      </c>
      <c r="H39" s="67">
        <f>IF(B39="","",IF(OR(C39="",D39="",E39=""),"Faltan datos",IF(COUNTIF(Pacientes!$A$2:$A$46,C39)=0,"Código no registrado",IF(F39&lt;=0,"Tiempo no válido",IF(F39&gt;60,"Revisar: más de 60 min","OK")))))</f>
        <v/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Sistema</t>
        </is>
      </c>
      <c r="H40" s="67">
        <f>IF(B40="","",IF(OR(C40="",D40="",E40=""),"Faltan datos",IF(COUNTIF(Pacientes!$A$2:$A$46,C40)=0,"Código no registrado",IF(F40&lt;=0,"Tiempo no válido",IF(F40&gt;60,"Revisar: más de 60 min","OK")))))</f>
        <v/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Sistema</t>
        </is>
      </c>
      <c r="H41" s="67">
        <f>IF(B41="","",IF(OR(C41="",D41="",E41=""),"Faltan datos",IF(COUNTIF(Pacientes!$A$2:$A$46,C41)=0,"Código no registrado",IF(F41&lt;=0,"Tiempo no válido",IF(F41&gt;60,"Revisar: más de 60 min","OK")))))</f>
        <v/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Sistema</t>
        </is>
      </c>
      <c r="H42" s="67">
        <f>IF(B42="","",IF(OR(C42="",D42="",E42=""),"Faltan datos",IF(COUNTIF(Pacientes!$A$2:$A$46,C42)=0,"Código no registrado",IF(F42&lt;=0,"Tiempo no válido",IF(F42&gt;60,"Revisar: más de 60 min","OK")))))</f>
        <v/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Sistema</t>
        </is>
      </c>
      <c r="H43" s="67">
        <f>IF(B43="","",IF(OR(C43="",D43="",E43=""),"Faltan datos",IF(COUNTIF(Pacientes!$A$2:$A$46,C43)=0,"Código no registrado",IF(F43&lt;=0,"Tiempo no válido",IF(F43&gt;60,"Revisar: más de 60 min","OK")))))</f>
        <v/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Sistema</t>
        </is>
      </c>
      <c r="H44" s="67">
        <f>IF(B44="","",IF(OR(C44="",D44="",E44=""),"Faltan datos",IF(COUNTIF(Pacientes!$A$2:$A$46,C44)=0,"Código no registrado",IF(F44&lt;=0,"Tiempo no válido",IF(F44&gt;60,"Revisar: más de 60 min","OK")))))</f>
        <v/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Sistema</t>
        </is>
      </c>
      <c r="H45" s="67">
        <f>IF(B45="","",IF(OR(C45="",D45="",E45=""),"Faltan datos",IF(COUNTIF(Pacientes!$A$2:$A$46,C45)=0,"Código no registrado",IF(F45&lt;=0,"Tiempo no válido",IF(F45&gt;60,"Revisar: más de 60 min","OK")))))</f>
        <v/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Sistema</t>
        </is>
      </c>
      <c r="H46" s="67">
        <f>IF(B46="","",IF(OR(C46="",D46="",E46=""),"Faltan datos",IF(COUNTIF(Pacientes!$A$2:$A$46,C46)=0,"Código no registrado",IF(F46&lt;=0,"Tiempo no válido",IF(F46&gt;60,"Revisar: más de 60 min","OK")))))</f>
        <v/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Sistema</t>
        </is>
      </c>
      <c r="H47" s="67">
        <f>IF(B47="","",IF(OR(C47="",D47="",E47=""),"Faltan datos",IF(COUNTIF(Pacientes!$A$2:$A$46,C47)=0,"Código no registrado",IF(F47&lt;=0,"Tiempo no válido",IF(F47&gt;60,"Revisar: más de 60 min","OK")))))</f>
        <v/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Sistema</t>
        </is>
      </c>
      <c r="H48" s="67">
        <f>IF(B48="","",IF(OR(C48="",D48="",E48=""),"Faltan datos",IF(COUNTIF(Pacientes!$A$2:$A$46,C48)=0,"Código no registrado",IF(F48&lt;=0,"Tiempo no válido",IF(F48&gt;60,"Revisar: más de 60 min","OK")))))</f>
        <v/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Sistema</t>
        </is>
      </c>
      <c r="H49" s="67">
        <f>IF(B49="","",IF(OR(C49="",D49="",E49=""),"Faltan datos",IF(COUNTIF(Pacientes!$A$2:$A$46,C49)=0,"Código no registrado",IF(F49&lt;=0,"Tiempo no válido",IF(F49&gt;60,"Revisar: más de 60 min","OK")))))</f>
        <v/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Sistema</t>
        </is>
      </c>
      <c r="H50" s="67">
        <f>IF(B50="","",IF(OR(C50="",D50="",E50=""),"Faltan datos",IF(COUNTIF(Pacientes!$A$2:$A$46,C50)=0,"Código no registrado",IF(F50&lt;=0,"Tiempo no válido",IF(F50&gt;60,"Revisar: más de 60 min","OK")))))</f>
        <v/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Sistema</t>
        </is>
      </c>
      <c r="H51" s="67">
        <f>IF(B51="","",IF(OR(C51="",D51="",E51=""),"Faltan datos",IF(COUNTIF(Pacientes!$A$2:$A$46,C51)=0,"Código no registrado",IF(F51&lt;=0,"Tiempo no válido",IF(F51&gt;60,"Revisar: más de 60 min","OK")))))</f>
        <v/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Sistema</t>
        </is>
      </c>
      <c r="H52" s="67">
        <f>IF(B52="","",IF(OR(C52="",D52="",E52=""),"Faltan datos",IF(COUNTIF(Pacientes!$A$2:$A$46,C52)=0,"Código no registrado",IF(F52&lt;=0,"Tiempo no válido",IF(F52&gt;60,"Revisar: más de 60 min","OK")))))</f>
        <v/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Sistema</t>
        </is>
      </c>
      <c r="H53" s="67">
        <f>IF(B53="","",IF(OR(C53="",D53="",E53=""),"Faltan datos",IF(COUNTIF(Pacientes!$A$2:$A$46,C53)=0,"Código no registrado",IF(F53&lt;=0,"Tiempo no válido",IF(F53&gt;60,"Revisar: más de 60 min","OK")))))</f>
        <v/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Sistema</t>
        </is>
      </c>
      <c r="H54" s="67">
        <f>IF(B54="","",IF(OR(C54="",D54="",E54=""),"Faltan datos",IF(COUNTIF(Pacientes!$A$2:$A$46,C54)=0,"Código no registrado",IF(F54&lt;=0,"Tiempo no válido",IF(F54&gt;60,"Revisar: más de 60 min","OK")))))</f>
        <v/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Sistema</t>
        </is>
      </c>
      <c r="H55" s="67">
        <f>IF(B55="","",IF(OR(C55="",D55="",E55=""),"Faltan datos",IF(COUNTIF(Pacientes!$A$2:$A$46,C55)=0,"Código no registrado",IF(F55&lt;=0,"Tiempo no válido",IF(F55&gt;60,"Revisar: más de 60 min","OK")))))</f>
        <v/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Sistema</t>
        </is>
      </c>
      <c r="H56" s="67">
        <f>IF(B56="","",IF(OR(C56="",D56="",E56=""),"Faltan datos",IF(COUNTIF(Pacientes!$A$2:$A$46,C56)=0,"Código no registrado",IF(F56&lt;=0,"Tiempo no válido",IF(F56&gt;60,"Revisar: más de 60 min","OK")))))</f>
        <v/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Sistema</t>
        </is>
      </c>
      <c r="H57" s="67">
        <f>IF(B57="","",IF(OR(C57="",D57="",E57=""),"Faltan datos",IF(COUNTIF(Pacientes!$A$2:$A$46,C57)=0,"Código no registrado",IF(F57&lt;=0,"Tiempo no válido",IF(F57&gt;60,"Revisar: más de 60 min","OK")))))</f>
        <v/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Sistema</t>
        </is>
      </c>
      <c r="H58" s="67">
        <f>IF(B58="","",IF(OR(C58="",D58="",E58=""),"Faltan datos",IF(COUNTIF(Pacientes!$A$2:$A$46,C58)=0,"Código no registrado",IF(F58&lt;=0,"Tiempo no válido",IF(F58&gt;60,"Revisar: más de 60 min","OK")))))</f>
        <v/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Sistema</t>
        </is>
      </c>
      <c r="H59" s="67">
        <f>IF(B59="","",IF(OR(C59="",D59="",E59=""),"Faltan datos",IF(COUNTIF(Pacientes!$A$2:$A$46,C59)=0,"Código no registrado",IF(F59&lt;=0,"Tiempo no válido",IF(F59&gt;60,"Revisar: más de 60 min","OK")))))</f>
        <v/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Sistema</t>
        </is>
      </c>
      <c r="H60" s="67">
        <f>IF(B60="","",IF(OR(C60="",D60="",E60=""),"Faltan datos",IF(COUNTIF(Pacientes!$A$2:$A$46,C60)=0,"Código no registrado",IF(F60&lt;=0,"Tiempo no válido",IF(F60&gt;60,"Revisar: más de 60 min","OK")))))</f>
        <v/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Sistema</t>
        </is>
      </c>
      <c r="H61" s="67">
        <f>IF(B61="","",IF(OR(C61="",D61="",E61=""),"Faltan datos",IF(COUNTIF(Pacientes!$A$2:$A$46,C61)=0,"Código no registrado",IF(F61&lt;=0,"Tiempo no válido",IF(F61&gt;60,"Revisar: más de 60 min","OK")))))</f>
        <v/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Sistema</t>
        </is>
      </c>
      <c r="H62" s="67">
        <f>IF(B62="","",IF(OR(C62="",D62="",E62=""),"Faltan datos",IF(COUNTIF(Pacientes!$A$2:$A$46,C62)=0,"Código no registrado",IF(F62&lt;=0,"Tiempo no válido",IF(F62&gt;60,"Revisar: más de 60 min","OK")))))</f>
        <v/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Sistema</t>
        </is>
      </c>
      <c r="H63" s="67">
        <f>IF(B63="","",IF(OR(C63="",D63="",E63=""),"Faltan datos",IF(COUNTIF(Pacientes!$A$2:$A$46,C63)=0,"Código no registrado",IF(F63&lt;=0,"Tiempo no válido",IF(F63&gt;60,"Revisar: más de 60 min","OK")))))</f>
        <v/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Sistema</t>
        </is>
      </c>
      <c r="H64" s="67">
        <f>IF(B64="","",IF(OR(C64="",D64="",E64=""),"Faltan datos",IF(COUNTIF(Pacientes!$A$2:$A$46,C64)=0,"Código no registrado",IF(F64&lt;=0,"Tiempo no válido",IF(F64&gt;60,"Revisar: más de 60 min","OK")))))</f>
        <v/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Sistema</t>
        </is>
      </c>
      <c r="H65" s="67">
        <f>IF(B65="","",IF(OR(C65="",D65="",E65=""),"Faltan datos",IF(COUNTIF(Pacientes!$A$2:$A$46,C65)=0,"Código no registrado",IF(F65&lt;=0,"Tiempo no válido",IF(F65&gt;60,"Revisar: más de 60 min","OK")))))</f>
        <v/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Sistema</t>
        </is>
      </c>
      <c r="H66" s="67">
        <f>IF(B66="","",IF(OR(C66="",D66="",E66=""),"Faltan datos",IF(COUNTIF(Pacientes!$A$2:$A$46,C66)=0,"Código no registrado",IF(F66&lt;=0,"Tiempo no válido",IF(F66&gt;60,"Revisar: más de 60 min","OK")))))</f>
        <v/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Sistema</t>
        </is>
      </c>
      <c r="H67" s="67">
        <f>IF(B67="","",IF(OR(C67="",D67="",E67=""),"Faltan datos",IF(COUNTIF(Pacientes!$A$2:$A$46,C67)=0,"Código no registrado",IF(F67&lt;=0,"Tiempo no válido",IF(F67&gt;60,"Revisar: más de 60 min","OK")))))</f>
        <v/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Sistema</t>
        </is>
      </c>
      <c r="H68" s="67">
        <f>IF(B68="","",IF(OR(C68="",D68="",E68=""),"Faltan datos",IF(COUNTIF(Pacientes!$A$2:$A$46,C68)=0,"Código no registrado",IF(F68&lt;=0,"Tiempo no válido",IF(F68&gt;60,"Revisar: más de 60 min","OK")))))</f>
        <v/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Sistema</t>
        </is>
      </c>
      <c r="H69" s="67">
        <f>IF(B69="","",IF(OR(C69="",D69="",E69=""),"Faltan datos",IF(COUNTIF(Pacientes!$A$2:$A$46,C69)=0,"Código no registrado",IF(F69&lt;=0,"Tiempo no válido",IF(F69&gt;60,"Revisar: más de 60 min","OK")))))</f>
        <v/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Sistema</t>
        </is>
      </c>
      <c r="H70" s="67">
        <f>IF(B70="","",IF(OR(C70="",D70="",E70=""),"Faltan datos",IF(COUNTIF(Pacientes!$A$2:$A$46,C70)=0,"Código no registrado",IF(F70&lt;=0,"Tiempo no válido",IF(F70&gt;60,"Revisar: más de 60 min","OK")))))</f>
        <v/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Sistema</t>
        </is>
      </c>
      <c r="H71" s="67">
        <f>IF(B71="","",IF(OR(C71="",D71="",E71=""),"Faltan datos",IF(COUNTIF(Pacientes!$A$2:$A$46,C71)=0,"Código no registrado",IF(F71&lt;=0,"Tiempo no válido",IF(F71&gt;60,"Revisar: más de 60 min","OK")))))</f>
        <v/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Sistema</t>
        </is>
      </c>
      <c r="H72" s="67">
        <f>IF(B72="","",IF(OR(C72="",D72="",E72=""),"Faltan datos",IF(COUNTIF(Pacientes!$A$2:$A$46,C72)=0,"Código no registrado",IF(F72&lt;=0,"Tiempo no válido",IF(F72&gt;60,"Revisar: más de 60 min","OK")))))</f>
        <v/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Sistema</t>
        </is>
      </c>
      <c r="H73" s="67">
        <f>IF(B73="","",IF(OR(C73="",D73="",E73=""),"Faltan datos",IF(COUNTIF(Pacientes!$A$2:$A$46,C73)=0,"Código no registrado",IF(F73&lt;=0,"Tiempo no válido",IF(F73&gt;60,"Revisar: más de 60 min","OK")))))</f>
        <v/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Sistema</t>
        </is>
      </c>
      <c r="H74" s="67">
        <f>IF(B74="","",IF(OR(C74="",D74="",E74=""),"Faltan datos",IF(COUNTIF(Pacientes!$A$2:$A$46,C74)=0,"Código no registrado",IF(F74&lt;=0,"Tiempo no válido",IF(F74&gt;60,"Revisar: más de 60 min","OK")))))</f>
        <v/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Sistema</t>
        </is>
      </c>
      <c r="H75" s="67">
        <f>IF(B75="","",IF(OR(C75="",D75="",E75=""),"Faltan datos",IF(COUNTIF(Pacientes!$A$2:$A$46,C75)=0,"Código no registrado",IF(F75&lt;=0,"Tiempo no válido",IF(F75&gt;60,"Revisar: más de 60 min","OK")))))</f>
        <v/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Sistema</t>
        </is>
      </c>
      <c r="H76" s="67">
        <f>IF(B76="","",IF(OR(C76="",D76="",E76=""),"Faltan datos",IF(COUNTIF(Pacientes!$A$2:$A$46,C76)=0,"Código no registrado",IF(F76&lt;=0,"Tiempo no válido",IF(F76&gt;60,"Revisar: más de 60 min","OK")))))</f>
        <v/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Sistema</t>
        </is>
      </c>
      <c r="H77" s="67">
        <f>IF(B77="","",IF(OR(C77="",D77="",E77=""),"Faltan datos",IF(COUNTIF(Pacientes!$A$2:$A$46,C77)=0,"Código no registrado",IF(F77&lt;=0,"Tiempo no válido",IF(F77&gt;60,"Revisar: más de 60 min","OK")))))</f>
        <v/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Sistema</t>
        </is>
      </c>
      <c r="H78" s="67">
        <f>IF(B78="","",IF(OR(C78="",D78="",E78=""),"Faltan datos",IF(COUNTIF(Pacientes!$A$2:$A$46,C78)=0,"Código no registrado",IF(F78&lt;=0,"Tiempo no válido",IF(F78&gt;60,"Revisar: más de 60 min","OK")))))</f>
        <v/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Sistema</t>
        </is>
      </c>
      <c r="H79" s="67">
        <f>IF(B79="","",IF(OR(C79="",D79="",E79=""),"Faltan datos",IF(COUNTIF(Pacientes!$A$2:$A$46,C79)=0,"Código no registrado",IF(F79&lt;=0,"Tiempo no válido",IF(F79&gt;60,"Revisar: más de 60 min","OK")))))</f>
        <v/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Sistema</t>
        </is>
      </c>
      <c r="H80" s="67">
        <f>IF(B80="","",IF(OR(C80="",D80="",E80=""),"Faltan datos",IF(COUNTIF(Pacientes!$A$2:$A$46,C80)=0,"Código no registrado",IF(F80&lt;=0,"Tiempo no válido",IF(F80&gt;60,"Revisar: más de 60 min","OK")))))</f>
        <v/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Sistema</t>
        </is>
      </c>
      <c r="H81" s="67">
        <f>IF(B81="","",IF(OR(C81="",D81="",E81=""),"Faltan datos",IF(COUNTIF(Pacientes!$A$2:$A$46,C81)=0,"Código no registrado",IF(F81&lt;=0,"Tiempo no válido",IF(F81&gt;60,"Revisar: más de 60 min","OK")))))</f>
        <v/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Sistema</t>
        </is>
      </c>
      <c r="H82" s="67">
        <f>IF(B82="","",IF(OR(C82="",D82="",E82=""),"Faltan datos",IF(COUNTIF(Pacientes!$A$2:$A$46,C82)=0,"Código no registrado",IF(F82&lt;=0,"Tiempo no válido",IF(F82&gt;60,"Revisar: más de 60 min","OK")))))</f>
        <v/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Sistema</t>
        </is>
      </c>
      <c r="H83" s="67">
        <f>IF(B83="","",IF(OR(C83="",D83="",E83=""),"Faltan datos",IF(COUNTIF(Pacientes!$A$2:$A$46,C83)=0,"Código no registrado",IF(F83&lt;=0,"Tiempo no válido",IF(F83&gt;60,"Revisar: más de 60 min","OK")))))</f>
        <v/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Sistema</t>
        </is>
      </c>
      <c r="H84" s="67">
        <f>IF(B84="","",IF(OR(C84="",D84="",E84=""),"Faltan datos",IF(COUNTIF(Pacientes!$A$2:$A$46,C84)=0,"Código no registrado",IF(F84&lt;=0,"Tiempo no válido",IF(F84&gt;60,"Revisar: más de 60 min","OK")))))</f>
        <v/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Sistema</t>
        </is>
      </c>
      <c r="H85" s="67">
        <f>IF(B85="","",IF(OR(C85="",D85="",E85=""),"Faltan datos",IF(COUNTIF(Pacientes!$A$2:$A$46,C85)=0,"Código no registrado",IF(F85&lt;=0,"Tiempo no válido",IF(F85&gt;60,"Revisar: más de 60 min","OK")))))</f>
        <v/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Sistema</t>
        </is>
      </c>
      <c r="H86" s="67">
        <f>IF(B86="","",IF(OR(C86="",D86="",E86=""),"Faltan datos",IF(COUNTIF(Pacientes!$A$2:$A$46,C86)=0,"Código no registrado",IF(F86&lt;=0,"Tiempo no válido",IF(F86&gt;60,"Revisar: más de 60 min","OK")))))</f>
        <v/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Sistema</t>
        </is>
      </c>
      <c r="H87" s="67">
        <f>IF(B87="","",IF(OR(C87="",D87="",E87=""),"Faltan datos",IF(COUNTIF(Pacientes!$A$2:$A$46,C87)=0,"Código no registrado",IF(F87&lt;=0,"Tiempo no válido",IF(F87&gt;60,"Revisar: más de 60 min","OK")))))</f>
        <v/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Sistema</t>
        </is>
      </c>
      <c r="H88" s="67">
        <f>IF(B88="","",IF(OR(C88="",D88="",E88=""),"Faltan datos",IF(COUNTIF(Pacientes!$A$2:$A$46,C88)=0,"Código no registrado",IF(F88&lt;=0,"Tiempo no válido",IF(F88&gt;60,"Revisar: más de 60 min","OK")))))</f>
        <v/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Sistema</t>
        </is>
      </c>
      <c r="H89" s="67">
        <f>IF(B89="","",IF(OR(C89="",D89="",E89=""),"Faltan datos",IF(COUNTIF(Pacientes!$A$2:$A$46,C89)=0,"Código no registrado",IF(F89&lt;=0,"Tiempo no válido",IF(F89&gt;60,"Revisar: más de 60 min","OK")))))</f>
        <v/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Sistema</t>
        </is>
      </c>
      <c r="H90" s="67">
        <f>IF(B90="","",IF(OR(C90="",D90="",E90=""),"Faltan datos",IF(COUNTIF(Pacientes!$A$2:$A$46,C90)=0,"Código no registrado",IF(F90&lt;=0,"Tiempo no válido",IF(F90&gt;60,"Revisar: más de 60 min","OK")))))</f>
        <v/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Sistema</t>
        </is>
      </c>
      <c r="H91" s="67">
        <f>IF(B91="","",IF(OR(C91="",D91="",E91=""),"Faltan datos",IF(COUNTIF(Pacientes!$A$2:$A$46,C91)=0,"Código no registrado",IF(F91&lt;=0,"Tiempo no válido",IF(F91&gt;60,"Revisar: más de 60 min","OK")))))</f>
        <v/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Sistema</t>
        </is>
      </c>
      <c r="H92" s="67">
        <f>IF(B92="","",IF(OR(C92="",D92="",E92=""),"Faltan datos",IF(COUNTIF(Pacientes!$A$2:$A$46,C92)=0,"Código no registrado",IF(F92&lt;=0,"Tiempo no válido",IF(F92&gt;60,"Revisar: más de 60 min","OK")))))</f>
        <v/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Sistema</t>
        </is>
      </c>
      <c r="H93" s="67">
        <f>IF(B93="","",IF(OR(C93="",D93="",E93=""),"Faltan datos",IF(COUNTIF(Pacientes!$A$2:$A$46,C93)=0,"Código no registrado",IF(F93&lt;=0,"Tiempo no válido",IF(F93&gt;60,"Revisar: más de 60 min","OK")))))</f>
        <v/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Sistema</t>
        </is>
      </c>
      <c r="H94" s="67">
        <f>IF(B94="","",IF(OR(C94="",D94="",E94=""),"Faltan datos",IF(COUNTIF(Pacientes!$A$2:$A$46,C94)=0,"Código no registrado",IF(F94&lt;=0,"Tiempo no válido",IF(F94&gt;60,"Revisar: más de 60 min","OK")))))</f>
        <v/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Sistema</t>
        </is>
      </c>
      <c r="H95" s="67">
        <f>IF(B95="","",IF(OR(C95="",D95="",E95=""),"Faltan datos",IF(COUNTIF(Pacientes!$A$2:$A$46,C95)=0,"Código no registrado",IF(F95&lt;=0,"Tiempo no válido",IF(F95&gt;60,"Revisar: más de 60 min","OK")))))</f>
        <v/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Sistema</t>
        </is>
      </c>
      <c r="H96" s="67">
        <f>IF(B96="","",IF(OR(C96="",D96="",E96=""),"Faltan datos",IF(COUNTIF(Pacientes!$A$2:$A$46,C96)=0,"Código no registrado",IF(F96&lt;=0,"Tiempo no válido",IF(F96&gt;60,"Revisar: más de 60 min","OK")))))</f>
        <v/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Sistema</t>
        </is>
      </c>
      <c r="H97" s="67">
        <f>IF(B97="","",IF(OR(C97="",D97="",E97=""),"Faltan datos",IF(COUNTIF(Pacientes!$A$2:$A$46,C97)=0,"Código no registrado",IF(F97&lt;=0,"Tiempo no válido",IF(F97&gt;60,"Revisar: más de 60 min","OK")))))</f>
        <v/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Sistema</t>
        </is>
      </c>
      <c r="H98" s="67">
        <f>IF(B98="","",IF(OR(C98="",D98="",E98=""),"Faltan datos",IF(COUNTIF(Pacientes!$A$2:$A$46,C98)=0,"Código no registrado",IF(F98&lt;=0,"Tiempo no válido",IF(F98&gt;60,"Revisar: más de 60 min","OK")))))</f>
        <v/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Sistema</t>
        </is>
      </c>
      <c r="H99" s="67">
        <f>IF(B99="","",IF(OR(C99="",D99="",E99=""),"Faltan datos",IF(COUNTIF(Pacientes!$A$2:$A$46,C99)=0,"Código no registrado",IF(F99&lt;=0,"Tiempo no válido",IF(F99&gt;60,"Revisar: más de 60 min","OK")))))</f>
        <v/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Sistema</t>
        </is>
      </c>
      <c r="H100" s="67">
        <f>IF(B100="","",IF(OR(C100="",D100="",E100=""),"Faltan datos",IF(COUNTIF(Pacientes!$A$2:$A$46,C100)=0,"Código no registrado",IF(F100&lt;=0,"Tiempo no válido",IF(F100&gt;60,"Revisar: más de 60 min","OK")))))</f>
        <v/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Sistema</t>
        </is>
      </c>
      <c r="H101" s="67">
        <f>IF(B101="","",IF(OR(C101="",D101="",E101=""),"Faltan datos",IF(COUNTIF(Pacientes!$A$2:$A$46,C101)=0,"Código no registrado",IF(F101&lt;=0,"Tiempo no válido",IF(F101&gt;60,"Revisar: más de 60 min","OK")))))</f>
        <v/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Sistema</t>
        </is>
      </c>
      <c r="H102" s="67">
        <f>IF(B102="","",IF(OR(C102="",D102="",E102=""),"Faltan datos",IF(COUNTIF(Pacientes!$A$2:$A$46,C102)=0,"Código no registrado",IF(F102&lt;=0,"Tiempo no válido",IF(F102&gt;60,"Revisar: más de 60 min","OK")))))</f>
        <v/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Sistema</t>
        </is>
      </c>
      <c r="H103" s="67">
        <f>IF(B103="","",IF(OR(C103="",D103="",E103=""),"Faltan datos",IF(COUNTIF(Pacientes!$A$2:$A$46,C103)=0,"Código no registrado",IF(F103&lt;=0,"Tiempo no válido",IF(F103&gt;60,"Revisar: más de 60 min","OK")))))</f>
        <v/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Sistema</t>
        </is>
      </c>
      <c r="H104" s="67">
        <f>IF(B104="","",IF(OR(C104="",D104="",E104=""),"Faltan datos",IF(COUNTIF(Pacientes!$A$2:$A$46,C104)=0,"Código no registrado",IF(F104&lt;=0,"Tiempo no válido",IF(F104&gt;60,"Revisar: más de 60 min","OK")))))</f>
        <v/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Sistema</t>
        </is>
      </c>
      <c r="H105" s="67">
        <f>IF(B105="","",IF(OR(C105="",D105="",E105=""),"Faltan datos",IF(COUNTIF(Pacientes!$A$2:$A$46,C105)=0,"Código no registrado",IF(F105&lt;=0,"Tiempo no válido",IF(F105&gt;60,"Revisar: más de 60 min","OK")))))</f>
        <v/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Sistema</t>
        </is>
      </c>
      <c r="H106" s="67">
        <f>IF(B106="","",IF(OR(C106="",D106="",E106=""),"Faltan datos",IF(COUNTIF(Pacientes!$A$2:$A$46,C106)=0,"Código no registrado",IF(F106&lt;=0,"Tiempo no válido",IF(F106&gt;60,"Revisar: más de 60 min","OK")))))</f>
        <v/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Sistema</t>
        </is>
      </c>
      <c r="H107" s="67">
        <f>IF(B107="","",IF(OR(C107="",D107="",E107=""),"Faltan datos",IF(COUNTIF(Pacientes!$A$2:$A$46,C107)=0,"Código no registrado",IF(F107&lt;=0,"Tiempo no válido",IF(F107&gt;60,"Revisar: más de 60 min","OK")))))</f>
        <v/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Sistema</t>
        </is>
      </c>
      <c r="H108" s="67">
        <f>IF(B108="","",IF(OR(C108="",D108="",E108=""),"Faltan datos",IF(COUNTIF(Pacientes!$A$2:$A$46,C108)=0,"Código no registrado",IF(F108&lt;=0,"Tiempo no válido",IF(F108&gt;60,"Revisar: más de 60 min","OK")))))</f>
        <v/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Sistema</t>
        </is>
      </c>
      <c r="H109" s="67">
        <f>IF(B109="","",IF(OR(C109="",D109="",E109=""),"Faltan datos",IF(COUNTIF(Pacientes!$A$2:$A$46,C109)=0,"Código no registrado",IF(F109&lt;=0,"Tiempo no válido",IF(F109&gt;60,"Revisar: más de 60 min","OK")))))</f>
        <v/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Sistema</t>
        </is>
      </c>
      <c r="H110" s="67">
        <f>IF(B110="","",IF(OR(C110="",D110="",E110=""),"Faltan datos",IF(COUNTIF(Pacientes!$A$2:$A$46,C110)=0,"Código no registrado",IF(F110&lt;=0,"Tiempo no válido",IF(F110&gt;60,"Revisar: más de 60 min","OK")))))</f>
        <v/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Sistema</t>
        </is>
      </c>
      <c r="H111" s="67">
        <f>IF(B111="","",IF(OR(C111="",D111="",E111=""),"Faltan datos",IF(COUNTIF(Pacientes!$A$2:$A$46,C111)=0,"Código no registrado",IF(F111&lt;=0,"Tiempo no válido",IF(F111&gt;60,"Revisar: más de 60 min","OK")))))</f>
        <v/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Sistema</t>
        </is>
      </c>
      <c r="H112" s="67">
        <f>IF(B112="","",IF(OR(C112="",D112="",E112=""),"Faltan datos",IF(COUNTIF(Pacientes!$A$2:$A$46,C112)=0,"Código no registrado",IF(F112&lt;=0,"Tiempo no válido",IF(F112&gt;60,"Revisar: más de 60 min","OK")))))</f>
        <v/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Sistema</t>
        </is>
      </c>
      <c r="H113" s="67">
        <f>IF(B113="","",IF(OR(C113="",D113="",E113=""),"Faltan datos",IF(COUNTIF(Pacientes!$A$2:$A$46,C113)=0,"Código no registrado",IF(F113&lt;=0,"Tiempo no válido",IF(F113&gt;60,"Revisar: más de 60 min","OK")))))</f>
        <v/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Sistema</t>
        </is>
      </c>
      <c r="H114" s="67">
        <f>IF(B114="","",IF(OR(C114="",D114="",E114=""),"Faltan datos",IF(COUNTIF(Pacientes!$A$2:$A$46,C114)=0,"Código no registrado",IF(F114&lt;=0,"Tiempo no válido",IF(F114&gt;60,"Revisar: más de 60 min","OK")))))</f>
        <v/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Sistema</t>
        </is>
      </c>
      <c r="H115" s="67">
        <f>IF(B115="","",IF(OR(C115="",D115="",E115=""),"Faltan datos",IF(COUNTIF(Pacientes!$A$2:$A$46,C115)=0,"Código no registrado",IF(F115&lt;=0,"Tiempo no válido",IF(F115&gt;60,"Revisar: más de 60 min","OK")))))</f>
        <v/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Sistema</t>
        </is>
      </c>
      <c r="H116" s="67">
        <f>IF(B116="","",IF(OR(C116="",D116="",E116=""),"Faltan datos",IF(COUNTIF(Pacientes!$A$2:$A$46,C116)=0,"Código no registrado",IF(F116&lt;=0,"Tiempo no válido",IF(F116&gt;60,"Revisar: más de 60 min","OK")))))</f>
        <v/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Sistema</t>
        </is>
      </c>
      <c r="H117" s="67">
        <f>IF(B117="","",IF(OR(C117="",D117="",E117=""),"Faltan datos",IF(COUNTIF(Pacientes!$A$2:$A$46,C117)=0,"Código no registrado",IF(F117&lt;=0,"Tiempo no válido",IF(F117&gt;60,"Revisar: más de 60 min","OK")))))</f>
        <v/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Sistema</t>
        </is>
      </c>
      <c r="H118" s="67">
        <f>IF(B118="","",IF(OR(C118="",D118="",E118=""),"Faltan datos",IF(COUNTIF(Pacientes!$A$2:$A$46,C118)=0,"Código no registrado",IF(F118&lt;=0,"Tiempo no válido",IF(F118&gt;60,"Revisar: más de 60 min","OK")))))</f>
        <v/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Sistema</t>
        </is>
      </c>
      <c r="H119" s="67">
        <f>IF(B119="","",IF(OR(C119="",D119="",E119=""),"Faltan datos",IF(COUNTIF(Pacientes!$A$2:$A$46,C119)=0,"Código no registrado",IF(F119&lt;=0,"Tiempo no válido",IF(F119&gt;60,"Revisar: más de 60 min","OK")))))</f>
        <v/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Sistema</t>
        </is>
      </c>
      <c r="H120" s="67">
        <f>IF(B120="","",IF(OR(C120="",D120="",E120=""),"Faltan datos",IF(COUNTIF(Pacientes!$A$2:$A$46,C120)=0,"Código no registrado",IF(F120&lt;=0,"Tiempo no válido",IF(F120&gt;60,"Revisar: más de 60 min","OK")))))</f>
        <v/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Sistema</t>
        </is>
      </c>
      <c r="H121" s="67">
        <f>IF(B121="","",IF(OR(C121="",D121="",E121=""),"Faltan datos",IF(COUNTIF(Pacientes!$A$2:$A$46,C121)=0,"Código no registrado",IF(F121&lt;=0,"Tiempo no válido",IF(F121&gt;60,"Revisar: más de 60 min","OK")))))</f>
        <v/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Sistema</t>
        </is>
      </c>
      <c r="H122" s="67">
        <f>IF(B122="","",IF(OR(C122="",D122="",E122=""),"Faltan datos",IF(COUNTIF(Pacientes!$A$2:$A$46,C122)=0,"Código no registrado",IF(F122&lt;=0,"Tiempo no válido",IF(F122&gt;60,"Revisar: más de 60 min","OK")))))</f>
        <v/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Sistema</t>
        </is>
      </c>
      <c r="H123" s="67">
        <f>IF(B123="","",IF(OR(C123="",D123="",E123=""),"Faltan datos",IF(COUNTIF(Pacientes!$A$2:$A$46,C123)=0,"Código no registrado",IF(F123&lt;=0,"Tiempo no válido",IF(F123&gt;60,"Revisar: más de 60 min","OK")))))</f>
        <v/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Sistema</t>
        </is>
      </c>
      <c r="H124" s="67">
        <f>IF(B124="","",IF(OR(C124="",D124="",E124=""),"Faltan datos",IF(COUNTIF(Pacientes!$A$2:$A$46,C124)=0,"Código no registrado",IF(F124&lt;=0,"Tiempo no válido",IF(F124&gt;60,"Revisar: más de 60 min","OK")))))</f>
        <v/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Sistema</t>
        </is>
      </c>
      <c r="H125" s="67">
        <f>IF(B125="","",IF(OR(C125="",D125="",E125=""),"Faltan datos",IF(COUNTIF(Pacientes!$A$2:$A$46,C125)=0,"Código no registrado",IF(F125&lt;=0,"Tiempo no válido",IF(F125&gt;60,"Revisar: más de 60 min","OK")))))</f>
        <v/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Sistema</t>
        </is>
      </c>
      <c r="H126" s="67">
        <f>IF(B126="","",IF(OR(C126="",D126="",E126=""),"Faltan datos",IF(COUNTIF(Pacientes!$A$2:$A$46,C126)=0,"Código no registrado",IF(F126&lt;=0,"Tiempo no válido",IF(F126&gt;60,"Revisar: más de 60 min","OK")))))</f>
        <v/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Sistema</t>
        </is>
      </c>
      <c r="H127" s="67">
        <f>IF(B127="","",IF(OR(C127="",D127="",E127=""),"Faltan datos",IF(COUNTIF(Pacientes!$A$2:$A$46,C127)=0,"Código no registrado",IF(F127&lt;=0,"Tiempo no válido",IF(F127&gt;60,"Revisar: más de 60 min","OK")))))</f>
        <v/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Sistema</t>
        </is>
      </c>
      <c r="H128" s="67">
        <f>IF(B128="","",IF(OR(C128="",D128="",E128=""),"Faltan datos",IF(COUNTIF(Pacientes!$A$2:$A$46,C128)=0,"Código no registrado",IF(F128&lt;=0,"Tiempo no válido",IF(F128&gt;60,"Revisar: más de 60 min","OK")))))</f>
        <v/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Sistema</t>
        </is>
      </c>
      <c r="H129" s="67">
        <f>IF(B129="","",IF(OR(C129="",D129="",E129=""),"Faltan datos",IF(COUNTIF(Pacientes!$A$2:$A$46,C129)=0,"Código no registrado",IF(F129&lt;=0,"Tiempo no válido",IF(F129&gt;60,"Revisar: más de 60 min","OK")))))</f>
        <v/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Sistema</t>
        </is>
      </c>
      <c r="H130" s="67">
        <f>IF(B130="","",IF(OR(C130="",D130="",E130=""),"Faltan datos",IF(COUNTIF(Pacientes!$A$2:$A$46,C130)=0,"Código no registrado",IF(F130&lt;=0,"Tiempo no válido",IF(F130&gt;60,"Revisar: más de 60 min","OK")))))</f>
        <v/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Sistema</t>
        </is>
      </c>
      <c r="H131" s="67">
        <f>IF(B131="","",IF(OR(C131="",D131="",E131=""),"Faltan datos",IF(COUNTIF(Pacientes!$A$2:$A$46,C131)=0,"Código no registrado",IF(F131&lt;=0,"Tiempo no válido",IF(F131&gt;60,"Revisar: más de 60 min","OK")))))</f>
        <v/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Sistema</t>
        </is>
      </c>
      <c r="H132" s="67">
        <f>IF(B132="","",IF(OR(C132="",D132="",E132=""),"Faltan datos",IF(COUNTIF(Pacientes!$A$2:$A$46,C132)=0,"Código no registrado",IF(F132&lt;=0,"Tiempo no válido",IF(F132&gt;60,"Revisar: más de 60 min","OK")))))</f>
        <v/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Sistema</t>
        </is>
      </c>
      <c r="H133" s="67">
        <f>IF(B133="","",IF(OR(C133="",D133="",E133=""),"Faltan datos",IF(COUNTIF(Pacientes!$A$2:$A$46,C133)=0,"Código no registrado",IF(F133&lt;=0,"Tiempo no válido",IF(F133&gt;60,"Revisar: más de 60 min","OK")))))</f>
        <v/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Sistema</t>
        </is>
      </c>
      <c r="H134" s="67">
        <f>IF(B134="","",IF(OR(C134="",D134="",E134=""),"Faltan datos",IF(COUNTIF(Pacientes!$A$2:$A$46,C134)=0,"Código no registrado",IF(F134&lt;=0,"Tiempo no válido",IF(F134&gt;60,"Revisar: más de 60 min","OK")))))</f>
        <v/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Sistema</t>
        </is>
      </c>
      <c r="H135" s="67">
        <f>IF(B135="","",IF(OR(C135="",D135="",E135=""),"Faltan datos",IF(COUNTIF(Pacientes!$A$2:$A$46,C135)=0,"Código no registrado",IF(F135&lt;=0,"Tiempo no válido",IF(F135&gt;60,"Revisar: más de 60 min","OK")))))</f>
        <v/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Sistema</t>
        </is>
      </c>
      <c r="H136" s="67">
        <f>IF(B136="","",IF(OR(C136="",D136="",E136=""),"Faltan datos",IF(COUNTIF(Pacientes!$A$2:$A$46,C136)=0,"Código no registrado",IF(F136&lt;=0,"Tiempo no válido",IF(F136&gt;60,"Revisar: más de 60 min","OK")))))</f>
        <v/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Sistema</t>
        </is>
      </c>
      <c r="H137" s="67">
        <f>IF(B137="","",IF(OR(C137="",D137="",E137=""),"Faltan datos",IF(COUNTIF(Pacientes!$A$2:$A$46,C137)=0,"Código no registrado",IF(F137&lt;=0,"Tiempo no válido",IF(F137&gt;60,"Revisar: más de 60 min","OK")))))</f>
        <v/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Sistema</t>
        </is>
      </c>
      <c r="H138" s="67">
        <f>IF(B138="","",IF(OR(C138="",D138="",E138=""),"Faltan datos",IF(COUNTIF(Pacientes!$A$2:$A$46,C138)=0,"Código no registrado",IF(F138&lt;=0,"Tiempo no válido",IF(F138&gt;60,"Revisar: más de 60 min","OK")))))</f>
        <v/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Sistema</t>
        </is>
      </c>
      <c r="H139" s="67">
        <f>IF(B139="","",IF(OR(C139="",D139="",E139=""),"Faltan datos",IF(COUNTIF(Pacientes!$A$2:$A$46,C139)=0,"Código no registrado",IF(F139&lt;=0,"Tiempo no válido",IF(F139&gt;60,"Revisar: más de 60 min","OK")))))</f>
        <v/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Sistema</t>
        </is>
      </c>
      <c r="H140" s="67">
        <f>IF(B140="","",IF(OR(C140="",D140="",E140=""),"Faltan datos",IF(COUNTIF(Pacientes!$A$2:$A$46,C140)=0,"Código no registrado",IF(F140&lt;=0,"Tiempo no válido",IF(F140&gt;60,"Revisar: más de 60 min","OK")))))</f>
        <v/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Sistema</t>
        </is>
      </c>
      <c r="H141" s="67">
        <f>IF(B141="","",IF(OR(C141="",D141="",E141=""),"Faltan datos",IF(COUNTIF(Pacientes!$A$2:$A$46,C141)=0,"Código no registrado",IF(F141&lt;=0,"Tiempo no válido",IF(F141&gt;60,"Revisar: más de 60 min","OK")))))</f>
        <v/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Sistema</t>
        </is>
      </c>
      <c r="H142" s="67">
        <f>IF(B142="","",IF(OR(C142="",D142="",E142=""),"Faltan datos",IF(COUNTIF(Pacientes!$A$2:$A$46,C142)=0,"Código no registrado",IF(F142&lt;=0,"Tiempo no válido",IF(F142&gt;60,"Revisar: más de 60 min","OK")))))</f>
        <v/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Sistema</t>
        </is>
      </c>
      <c r="H143" s="67">
        <f>IF(B143="","",IF(OR(C143="",D143="",E143=""),"Faltan datos",IF(COUNTIF(Pacientes!$A$2:$A$46,C143)=0,"Código no registrado",IF(F143&lt;=0,"Tiempo no válido",IF(F143&gt;60,"Revisar: más de 60 min","OK")))))</f>
        <v/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Sistema</t>
        </is>
      </c>
      <c r="H144" s="67">
        <f>IF(B144="","",IF(OR(C144="",D144="",E144=""),"Faltan datos",IF(COUNTIF(Pacientes!$A$2:$A$46,C144)=0,"Código no registrado",IF(F144&lt;=0,"Tiempo no válido",IF(F144&gt;60,"Revisar: más de 60 min","OK")))))</f>
        <v/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Sistema</t>
        </is>
      </c>
      <c r="H145" s="67">
        <f>IF(B145="","",IF(OR(C145="",D145="",E145=""),"Faltan datos",IF(COUNTIF(Pacientes!$A$2:$A$46,C145)=0,"Código no registrado",IF(F145&lt;=0,"Tiempo no válido",IF(F145&gt;60,"Revisar: más de 60 min","OK")))))</f>
        <v/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Sistema</t>
        </is>
      </c>
      <c r="H146" s="67">
        <f>IF(B146="","",IF(OR(C146="",D146="",E146=""),"Faltan datos",IF(COUNTIF(Pacientes!$A$2:$A$46,C146)=0,"Código no registrado",IF(F146&lt;=0,"Tiempo no válido",IF(F146&gt;60,"Revisar: más de 60 min","OK")))))</f>
        <v/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Sistema</t>
        </is>
      </c>
      <c r="H147" s="67">
        <f>IF(B147="","",IF(OR(C147="",D147="",E147=""),"Faltan datos",IF(COUNTIF(Pacientes!$A$2:$A$46,C147)=0,"Código no registrado",IF(F147&lt;=0,"Tiempo no válido",IF(F147&gt;60,"Revisar: más de 60 min","OK")))))</f>
        <v/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Sistema</t>
        </is>
      </c>
      <c r="H148" s="67">
        <f>IF(B148="","",IF(OR(C148="",D148="",E148=""),"Faltan datos",IF(COUNTIF(Pacientes!$A$2:$A$46,C148)=0,"Código no registrado",IF(F148&lt;=0,"Tiempo no válido",IF(F148&gt;60,"Revisar: más de 60 min","OK")))))</f>
        <v/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Sistema</t>
        </is>
      </c>
      <c r="H149" s="67">
        <f>IF(B149="","",IF(OR(C149="",D149="",E149=""),"Faltan datos",IF(COUNTIF(Pacientes!$A$2:$A$46,C149)=0,"Código no registrado",IF(F149&lt;=0,"Tiempo no válido",IF(F149&gt;60,"Revisar: más de 60 min","OK")))))</f>
        <v/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Sistema</t>
        </is>
      </c>
      <c r="H150" s="67">
        <f>IF(B150="","",IF(OR(C150="",D150="",E150=""),"Faltan datos",IF(COUNTIF(Pacientes!$A$2:$A$46,C150)=0,"Código no registrado",IF(F150&lt;=0,"Tiempo no válido",IF(F150&gt;60,"Revisar: más de 60 min","OK")))))</f>
        <v/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Sistema</t>
        </is>
      </c>
      <c r="H151" s="67">
        <f>IF(B151="","",IF(OR(C151="",D151="",E151=""),"Faltan datos",IF(COUNTIF(Pacientes!$A$2:$A$46,C151)=0,"Código no registrado",IF(F151&lt;=0,"Tiempo no válido",IF(F151&gt;60,"Revisar: más de 60 min","OK")))))</f>
        <v/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Sistema</t>
        </is>
      </c>
      <c r="H152" s="67">
        <f>IF(B152="","",IF(OR(C152="",D152="",E152=""),"Faltan datos",IF(COUNTIF(Pacientes!$A$2:$A$46,C152)=0,"Código no registrado",IF(F152&lt;=0,"Tiempo no válido",IF(F152&gt;60,"Revisar: más de 60 min","OK")))))</f>
        <v/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Sistema</t>
        </is>
      </c>
      <c r="H153" s="67">
        <f>IF(B153="","",IF(OR(C153="",D153="",E153=""),"Faltan datos",IF(COUNTIF(Pacientes!$A$2:$A$46,C153)=0,"Código no registrado",IF(F153&lt;=0,"Tiempo no válido",IF(F153&gt;60,"Revisar: más de 60 min","OK")))))</f>
        <v/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Sistema</t>
        </is>
      </c>
      <c r="H154" s="67">
        <f>IF(B154="","",IF(OR(C154="",D154="",E154=""),"Faltan datos",IF(COUNTIF(Pacientes!$A$2:$A$46,C154)=0,"Código no registrado",IF(F154&lt;=0,"Tiempo no válido",IF(F154&gt;60,"Revisar: más de 60 min","OK")))))</f>
        <v/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Sistema</t>
        </is>
      </c>
      <c r="H155" s="67">
        <f>IF(B155="","",IF(OR(C155="",D155="",E155=""),"Faltan datos",IF(COUNTIF(Pacientes!$A$2:$A$46,C155)=0,"Código no registrado",IF(F155&lt;=0,"Tiempo no válido",IF(F155&gt;60,"Revisar: más de 60 min","OK")))))</f>
        <v/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Sistema</t>
        </is>
      </c>
      <c r="H156" s="67">
        <f>IF(B156="","",IF(OR(C156="",D156="",E156=""),"Faltan datos",IF(COUNTIF(Pacientes!$A$2:$A$46,C156)=0,"Código no registrado",IF(F156&lt;=0,"Tiempo no válido",IF(F156&gt;60,"Revisar: más de 60 min","OK")))))</f>
        <v/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Sistema</t>
        </is>
      </c>
      <c r="H157" s="67">
        <f>IF(B157="","",IF(OR(C157="",D157="",E157=""),"Faltan datos",IF(COUNTIF(Pacientes!$A$2:$A$46,C157)=0,"Código no registrado",IF(F157&lt;=0,"Tiempo no válido",IF(F157&gt;60,"Revisar: más de 60 min","OK")))))</f>
        <v/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Sistema</t>
        </is>
      </c>
      <c r="H158" s="67">
        <f>IF(B158="","",IF(OR(C158="",D158="",E158=""),"Faltan datos",IF(COUNTIF(Pacientes!$A$2:$A$46,C158)=0,"Código no registrado",IF(F158&lt;=0,"Tiempo no válido",IF(F158&gt;60,"Revisar: más de 60 min","OK")))))</f>
        <v/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Sistema</t>
        </is>
      </c>
      <c r="H159" s="67">
        <f>IF(B159="","",IF(OR(C159="",D159="",E159=""),"Faltan datos",IF(COUNTIF(Pacientes!$A$2:$A$46,C159)=0,"Código no registrado",IF(F159&lt;=0,"Tiempo no válido",IF(F159&gt;60,"Revisar: más de 60 min","OK")))))</f>
        <v/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Sistema</t>
        </is>
      </c>
      <c r="H160" s="67">
        <f>IF(B160="","",IF(OR(C160="",D160="",E160=""),"Faltan datos",IF(COUNTIF(Pacientes!$A$2:$A$46,C160)=0,"Código no registrado",IF(F160&lt;=0,"Tiempo no válido",IF(F160&gt;60,"Revisar: más de 60 min","OK")))))</f>
        <v/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Sistema</t>
        </is>
      </c>
      <c r="H161" s="67">
        <f>IF(B161="","",IF(OR(C161="",D161="",E161=""),"Faltan datos",IF(COUNTIF(Pacientes!$A$2:$A$46,C161)=0,"Código no registrado",IF(F161&lt;=0,"Tiempo no válido",IF(F161&gt;60,"Revisar: más de 60 min","OK")))))</f>
        <v/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Sistema</t>
        </is>
      </c>
      <c r="H162" s="67">
        <f>IF(B162="","",IF(OR(C162="",D162="",E162=""),"Faltan datos",IF(COUNTIF(Pacientes!$A$2:$A$46,C162)=0,"Código no registrado",IF(F162&lt;=0,"Tiempo no válido",IF(F162&gt;60,"Revisar: más de 60 min","OK")))))</f>
        <v/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Sistema</t>
        </is>
      </c>
      <c r="H163" s="67">
        <f>IF(B163="","",IF(OR(C163="",D163="",E163=""),"Faltan datos",IF(COUNTIF(Pacientes!$A$2:$A$46,C163)=0,"Código no registrado",IF(F163&lt;=0,"Tiempo no válido",IF(F163&gt;60,"Revisar: más de 60 min","OK")))))</f>
        <v/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Sistema</t>
        </is>
      </c>
      <c r="H164" s="67">
        <f>IF(B164="","",IF(OR(C164="",D164="",E164=""),"Faltan datos",IF(COUNTIF(Pacientes!$A$2:$A$46,C164)=0,"Código no registrado",IF(F164&lt;=0,"Tiempo no válido",IF(F164&gt;60,"Revisar: más de 60 min","OK")))))</f>
        <v/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Sistema</t>
        </is>
      </c>
      <c r="H165" s="67">
        <f>IF(B165="","",IF(OR(C165="",D165="",E165=""),"Faltan datos",IF(COUNTIF(Pacientes!$A$2:$A$46,C165)=0,"Código no registrado",IF(F165&lt;=0,"Tiempo no válido",IF(F165&gt;60,"Revisar: más de 60 min","OK")))))</f>
        <v/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Sistema</t>
        </is>
      </c>
      <c r="H166" s="67">
        <f>IF(B166="","",IF(OR(C166="",D166="",E166=""),"Faltan datos",IF(COUNTIF(Pacientes!$A$2:$A$46,C166)=0,"Código no registrado",IF(F166&lt;=0,"Tiempo no válido",IF(F166&gt;60,"Revisar: más de 60 min","OK")))))</f>
        <v/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Sistema</t>
        </is>
      </c>
      <c r="H167" s="67">
        <f>IF(B167="","",IF(OR(C167="",D167="",E167=""),"Faltan datos",IF(COUNTIF(Pacientes!$A$2:$A$46,C167)=0,"Código no registrado",IF(F167&lt;=0,"Tiempo no válido",IF(F167&gt;60,"Revisar: más de 60 min","OK")))))</f>
        <v/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Sistema</t>
        </is>
      </c>
      <c r="H168" s="67">
        <f>IF(B168="","",IF(OR(C168="",D168="",E168=""),"Faltan datos",IF(COUNTIF(Pacientes!$A$2:$A$46,C168)=0,"Código no registrado",IF(F168&lt;=0,"Tiempo no válido",IF(F168&gt;60,"Revisar: más de 60 min","OK")))))</f>
        <v/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Sistema</t>
        </is>
      </c>
      <c r="H169" s="67">
        <f>IF(B169="","",IF(OR(C169="",D169="",E169=""),"Faltan datos",IF(COUNTIF(Pacientes!$A$2:$A$46,C169)=0,"Código no registrado",IF(F169&lt;=0,"Tiempo no válido",IF(F169&gt;60,"Revisar: más de 60 min","OK")))))</f>
        <v/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Sistema</t>
        </is>
      </c>
      <c r="H170" s="67">
        <f>IF(B170="","",IF(OR(C170="",D170="",E170=""),"Faltan datos",IF(COUNTIF(Pacientes!$A$2:$A$46,C170)=0,"Código no registrado",IF(F170&lt;=0,"Tiempo no válido",IF(F170&gt;60,"Revisar: más de 60 min","OK")))))</f>
        <v/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Sistema</t>
        </is>
      </c>
      <c r="H171" s="67">
        <f>IF(B171="","",IF(OR(C171="",D171="",E171=""),"Faltan datos",IF(COUNTIF(Pacientes!$A$2:$A$46,C171)=0,"Código no registrado",IF(F171&lt;=0,"Tiempo no válido",IF(F171&gt;60,"Revisar: más de 60 min","OK")))))</f>
        <v/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Sistema</t>
        </is>
      </c>
      <c r="H172" s="67">
        <f>IF(B172="","",IF(OR(C172="",D172="",E172=""),"Faltan datos",IF(COUNTIF(Pacientes!$A$2:$A$46,C172)=0,"Código no registrado",IF(F172&lt;=0,"Tiempo no válido",IF(F172&gt;60,"Revisar: más de 60 min","OK")))))</f>
        <v/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Sistema</t>
        </is>
      </c>
      <c r="H173" s="67">
        <f>IF(B173="","",IF(OR(C173="",D173="",E173=""),"Faltan datos",IF(COUNTIF(Pacientes!$A$2:$A$46,C173)=0,"Código no registrado",IF(F173&lt;=0,"Tiempo no válido",IF(F173&gt;60,"Revisar: más de 60 min","OK")))))</f>
        <v/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Sistema</t>
        </is>
      </c>
      <c r="H174" s="67">
        <f>IF(B174="","",IF(OR(C174="",D174="",E174=""),"Faltan datos",IF(COUNTIF(Pacientes!$A$2:$A$46,C174)=0,"Código no registrado",IF(F174&lt;=0,"Tiempo no válido",IF(F174&gt;60,"Revisar: más de 60 min","OK")))))</f>
        <v/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Sistema</t>
        </is>
      </c>
      <c r="H175" s="67">
        <f>IF(B175="","",IF(OR(C175="",D175="",E175=""),"Faltan datos",IF(COUNTIF(Pacientes!$A$2:$A$46,C175)=0,"Código no registrado",IF(F175&lt;=0,"Tiempo no válido",IF(F175&gt;60,"Revisar: más de 60 min","OK")))))</f>
        <v/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Sistema</t>
        </is>
      </c>
      <c r="H176" s="67">
        <f>IF(B176="","",IF(OR(C176="",D176="",E176=""),"Faltan datos",IF(COUNTIF(Pacientes!$A$2:$A$46,C176)=0,"Código no registrado",IF(F176&lt;=0,"Tiempo no válido",IF(F176&gt;60,"Revisar: más de 60 min","OK")))))</f>
        <v/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Sistema</t>
        </is>
      </c>
      <c r="H177" s="67">
        <f>IF(B177="","",IF(OR(C177="",D177="",E177=""),"Faltan datos",IF(COUNTIF(Pacientes!$A$2:$A$46,C177)=0,"Código no registrado",IF(F177&lt;=0,"Tiempo no válido",IF(F177&gt;60,"Revisar: más de 60 min","OK")))))</f>
        <v/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Sistema</t>
        </is>
      </c>
      <c r="H178" s="67">
        <f>IF(B178="","",IF(OR(C178="",D178="",E178=""),"Faltan datos",IF(COUNTIF(Pacientes!$A$2:$A$46,C178)=0,"Código no registrado",IF(F178&lt;=0,"Tiempo no válido",IF(F178&gt;60,"Revisar: más de 60 min","OK")))))</f>
        <v/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Sistema</t>
        </is>
      </c>
      <c r="H179" s="67">
        <f>IF(B179="","",IF(OR(C179="",D179="",E179=""),"Faltan datos",IF(COUNTIF(Pacientes!$A$2:$A$46,C179)=0,"Código no registrado",IF(F179&lt;=0,"Tiempo no válido",IF(F179&gt;60,"Revisar: más de 60 min","OK")))))</f>
        <v/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Sistema</t>
        </is>
      </c>
      <c r="H180" s="67">
        <f>IF(B180="","",IF(OR(C180="",D180="",E180=""),"Faltan datos",IF(COUNTIF(Pacientes!$A$2:$A$46,C180)=0,"Código no registrado",IF(F180&lt;=0,"Tiempo no válido",IF(F180&gt;60,"Revisar: más de 60 min","OK")))))</f>
        <v/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Sistema</t>
        </is>
      </c>
      <c r="H181" s="67">
        <f>IF(B181="","",IF(OR(C181="",D181="",E181=""),"Faltan datos",IF(COUNTIF(Pacientes!$A$2:$A$46,C181)=0,"Código no registrado",IF(F181&lt;=0,"Tiempo no válido",IF(F181&gt;60,"Revisar: más de 60 min","OK")))))</f>
        <v/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Sistema</t>
        </is>
      </c>
      <c r="H182" s="67">
        <f>IF(B182="","",IF(OR(C182="",D182="",E182=""),"Faltan datos",IF(COUNTIF(Pacientes!$A$2:$A$46,C182)=0,"Código no registrado",IF(F182&lt;=0,"Tiempo no válido",IF(F182&gt;60,"Revisar: más de 60 min","OK")))))</f>
        <v/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Sistema</t>
        </is>
      </c>
      <c r="H183" s="67">
        <f>IF(B183="","",IF(OR(C183="",D183="",E183=""),"Faltan datos",IF(COUNTIF(Pacientes!$A$2:$A$46,C183)=0,"Código no registrado",IF(F183&lt;=0,"Tiempo no válido",IF(F183&gt;60,"Revisar: más de 60 min","OK")))))</f>
        <v/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Sistema</t>
        </is>
      </c>
      <c r="H184" s="67">
        <f>IF(B184="","",IF(OR(C184="",D184="",E184=""),"Faltan datos",IF(COUNTIF(Pacientes!$A$2:$A$46,C184)=0,"Código no registrado",IF(F184&lt;=0,"Tiempo no válido",IF(F184&gt;60,"Revisar: más de 60 min","OK")))))</f>
        <v/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Sistema</t>
        </is>
      </c>
      <c r="H185" s="67">
        <f>IF(B185="","",IF(OR(C185="",D185="",E185=""),"Faltan datos",IF(COUNTIF(Pacientes!$A$2:$A$46,C185)=0,"Código no registrado",IF(F185&lt;=0,"Tiempo no válido",IF(F185&gt;60,"Revisar: más de 60 min","OK")))))</f>
        <v/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Sistema</t>
        </is>
      </c>
      <c r="H186" s="67">
        <f>IF(B186="","",IF(OR(C186="",D186="",E186=""),"Faltan datos",IF(COUNTIF(Pacientes!$A$2:$A$46,C186)=0,"Código no registrado",IF(F186&lt;=0,"Tiempo no válido",IF(F186&gt;60,"Revisar: más de 60 min","OK")))))</f>
        <v/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Sistema</t>
        </is>
      </c>
      <c r="H187" s="67">
        <f>IF(B187="","",IF(OR(C187="",D187="",E187=""),"Faltan datos",IF(COUNTIF(Pacientes!$A$2:$A$46,C187)=0,"Código no registrado",IF(F187&lt;=0,"Tiempo no válido",IF(F187&gt;60,"Revisar: más de 60 min","OK")))))</f>
        <v/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Sistema</t>
        </is>
      </c>
      <c r="H188" s="67">
        <f>IF(B188="","",IF(OR(C188="",D188="",E188=""),"Faltan datos",IF(COUNTIF(Pacientes!$A$2:$A$46,C188)=0,"Código no registrado",IF(F188&lt;=0,"Tiempo no válido",IF(F188&gt;60,"Revisar: más de 60 min","OK")))))</f>
        <v/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Sistema</t>
        </is>
      </c>
      <c r="H189" s="67">
        <f>IF(B189="","",IF(OR(C189="",D189="",E189=""),"Faltan datos",IF(COUNTIF(Pacientes!$A$2:$A$46,C189)=0,"Código no registrado",IF(F189&lt;=0,"Tiempo no válido",IF(F189&gt;60,"Revisar: más de 60 min","OK")))))</f>
        <v/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Sistema</t>
        </is>
      </c>
      <c r="H190" s="67">
        <f>IF(B190="","",IF(OR(C190="",D190="",E190=""),"Faltan datos",IF(COUNTIF(Pacientes!$A$2:$A$46,C190)=0,"Código no registrado",IF(F190&lt;=0,"Tiempo no válido",IF(F190&gt;60,"Revisar: más de 60 min","OK")))))</f>
        <v/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Sistema</t>
        </is>
      </c>
      <c r="H191" s="67">
        <f>IF(B191="","",IF(OR(C191="",D191="",E191=""),"Faltan datos",IF(COUNTIF(Pacientes!$A$2:$A$46,C191)=0,"Código no registrado",IF(F191&lt;=0,"Tiempo no válido",IF(F191&gt;60,"Revisar: más de 60 min","OK")))))</f>
        <v/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Sistema</t>
        </is>
      </c>
      <c r="H192" s="67">
        <f>IF(B192="","",IF(OR(C192="",D192="",E192=""),"Faltan datos",IF(COUNTIF(Pacientes!$A$2:$A$46,C192)=0,"Código no registrado",IF(F192&lt;=0,"Tiempo no válido",IF(F192&gt;60,"Revisar: más de 60 min","OK")))))</f>
        <v/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Sistema</t>
        </is>
      </c>
      <c r="H193" s="67">
        <f>IF(B193="","",IF(OR(C193="",D193="",E193=""),"Faltan datos",IF(COUNTIF(Pacientes!$A$2:$A$46,C193)=0,"Código no registrado",IF(F193&lt;=0,"Tiempo no válido",IF(F193&gt;60,"Revisar: más de 60 min","OK")))))</f>
        <v/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Sistema</t>
        </is>
      </c>
      <c r="H194" s="67">
        <f>IF(B194="","",IF(OR(C194="",D194="",E194=""),"Faltan datos",IF(COUNTIF(Pacientes!$A$2:$A$46,C194)=0,"Código no registrado",IF(F194&lt;=0,"Tiempo no válido",IF(F194&gt;60,"Revisar: más de 60 min","OK")))))</f>
        <v/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Sistema</t>
        </is>
      </c>
      <c r="H195" s="67">
        <f>IF(B195="","",IF(OR(C195="",D195="",E195=""),"Faltan datos",IF(COUNTIF(Pacientes!$A$2:$A$46,C195)=0,"Código no registrado",IF(F195&lt;=0,"Tiempo no válido",IF(F195&gt;60,"Revisar: más de 60 min","OK")))))</f>
        <v/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Sistema</t>
        </is>
      </c>
      <c r="H196" s="67">
        <f>IF(B196="","",IF(OR(C196="",D196="",E196=""),"Faltan datos",IF(COUNTIF(Pacientes!$A$2:$A$46,C196)=0,"Código no registrado",IF(F196&lt;=0,"Tiempo no válido",IF(F196&gt;60,"Revisar: más de 60 min","OK")))))</f>
        <v/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Sistema</t>
        </is>
      </c>
      <c r="H197" s="67">
        <f>IF(B197="","",IF(OR(C197="",D197="",E197=""),"Faltan datos",IF(COUNTIF(Pacientes!$A$2:$A$46,C197)=0,"Código no registrado",IF(F197&lt;=0,"Tiempo no válido",IF(F197&gt;60,"Revisar: más de 60 min","OK")))))</f>
        <v/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Sistema</t>
        </is>
      </c>
      <c r="H198" s="67">
        <f>IF(B198="","",IF(OR(C198="",D198="",E198=""),"Faltan datos",IF(COUNTIF(Pacientes!$A$2:$A$46,C198)=0,"Código no registrado",IF(F198&lt;=0,"Tiempo no válido",IF(F198&gt;60,"Revisar: más de 60 min","OK")))))</f>
        <v/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Sistema</t>
        </is>
      </c>
      <c r="H199" s="67">
        <f>IF(B199="","",IF(OR(C199="",D199="",E199=""),"Faltan datos",IF(COUNTIF(Pacientes!$A$2:$A$46,C199)=0,"Código no registrado",IF(F199&lt;=0,"Tiempo no válido",IF(F199&gt;60,"Revisar: más de 60 min","OK")))))</f>
        <v/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Sistema</t>
        </is>
      </c>
      <c r="H200" s="67">
        <f>IF(B200="","",IF(OR(C200="",D200="",E200=""),"Faltan datos",IF(COUNTIF(Pacientes!$A$2:$A$46,C200)=0,"Código no registrado",IF(F200&lt;=0,"Tiempo no válido",IF(F200&gt;60,"Revisar: más de 60 min","OK")))))</f>
        <v/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Sistema</t>
        </is>
      </c>
      <c r="H201" s="67">
        <f>IF(B201="","",IF(OR(C201="",D201="",E201=""),"Faltan datos",IF(COUNTIF(Pacientes!$A$2:$A$46,C201)=0,"Código no registrado",IF(F201&lt;=0,"Tiempo no válido",IF(F201&gt;60,"Revisar: más de 60 min","OK")))))</f>
        <v/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Sistema</t>
        </is>
      </c>
      <c r="H202" s="67">
        <f>IF(B202="","",IF(OR(C202="",D202="",E202=""),"Faltan datos",IF(COUNTIF(Pacientes!$A$2:$A$46,C202)=0,"Código no registrado",IF(F202&lt;=0,"Tiempo no válido",IF(F202&gt;60,"Revisar: más de 60 min","OK")))))</f>
        <v/>
      </c>
    </row>
  </sheetData>
  <conditionalFormatting sqref="H3:H202">
    <cfRule type="expression" priority="1" dxfId="0">
      <formula>AND(H3&lt;&gt;"",H3&lt;&gt;"OK")</formula>
    </cfRule>
  </conditionalFormatting>
  <dataValidations count="1">
    <dataValidation sqref="B3:B202" showDropDown="0" showInputMessage="0" showErrorMessage="0" allowBlank="1" type="list" errorStyle="stop" operator="between">
      <formula1>Listas!$B$2:$B$14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  <col width="26" customWidth="1" style="27" min="8" max="8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>
        <v>46237</v>
      </c>
      <c r="C3" s="40" t="inlineStr">
        <is>
          <t>SIM-24</t>
        </is>
      </c>
      <c r="D3" s="40" t="inlineStr">
        <is>
          <t>Sí</t>
        </is>
      </c>
      <c r="E3" s="40" t="inlineStr">
        <is>
          <t>Asistió</t>
        </is>
      </c>
      <c r="F3" s="40" t="n"/>
      <c r="G3" s="40" t="inlineStr">
        <is>
          <t>No</t>
        </is>
      </c>
      <c r="H3" s="67">
        <f>IF(B3="","",IF(OR(C3="",E3=""),"Faltan datos",IF(COUNTIF(Pacientes!$A$2:$A$46,C3)=0,"Código no registrado","OK")))</f>
        <v/>
      </c>
    </row>
    <row r="4" ht="15" customHeight="1" s="27">
      <c r="A4" s="39">
        <f>IF(B4="","",ROW()-2)</f>
        <v/>
      </c>
      <c r="B4" s="50" t="n">
        <v>46237</v>
      </c>
      <c r="C4" s="40" t="inlineStr">
        <is>
          <t>SIM-07</t>
        </is>
      </c>
      <c r="D4" s="40" t="inlineStr">
        <is>
          <t>Sí</t>
        </is>
      </c>
      <c r="E4" s="40" t="inlineStr">
        <is>
          <t>Cancelada</t>
        </is>
      </c>
      <c r="F4" s="40" t="inlineStr">
        <is>
          <t>Aviso previo</t>
        </is>
      </c>
      <c r="G4" s="40" t="inlineStr">
        <is>
          <t>No</t>
        </is>
      </c>
      <c r="H4" s="67">
        <f>IF(B4="","",IF(OR(C4="",E4=""),"Faltan datos",IF(COUNTIF(Pacientes!$A$2:$A$46,C4)=0,"Código no registrado","OK")))</f>
        <v/>
      </c>
    </row>
    <row r="5" ht="15" customHeight="1" s="27">
      <c r="A5" s="39">
        <f>IF(B5="","",ROW()-2)</f>
        <v/>
      </c>
      <c r="B5" s="50" t="n">
        <v>46237</v>
      </c>
      <c r="C5" s="40" t="inlineStr">
        <is>
          <t>SIM-27</t>
        </is>
      </c>
      <c r="D5" s="40" t="inlineStr">
        <is>
          <t>Sí</t>
        </is>
      </c>
      <c r="E5" s="40" t="inlineStr">
        <is>
          <t>Asistió</t>
        </is>
      </c>
      <c r="F5" s="40" t="n"/>
      <c r="G5" s="40" t="inlineStr">
        <is>
          <t>No</t>
        </is>
      </c>
      <c r="H5" s="67">
        <f>IF(B5="","",IF(OR(C5="",E5=""),"Faltan datos",IF(COUNTIF(Pacientes!$A$2:$A$46,C5)=0,"Código no registrado","OK")))</f>
        <v/>
      </c>
    </row>
    <row r="6" ht="15" customHeight="1" s="27">
      <c r="A6" s="39">
        <f>IF(B6="","",ROW()-2)</f>
        <v/>
      </c>
      <c r="B6" s="50" t="n">
        <v>46237</v>
      </c>
      <c r="C6" s="40" t="inlineStr">
        <is>
          <t>SIM-21</t>
        </is>
      </c>
      <c r="D6" s="40" t="inlineStr">
        <is>
          <t>Sí</t>
        </is>
      </c>
      <c r="E6" s="40" t="inlineStr">
        <is>
          <t>Asistió</t>
        </is>
      </c>
      <c r="F6" s="40" t="n"/>
      <c r="G6" s="40" t="inlineStr">
        <is>
          <t>No</t>
        </is>
      </c>
      <c r="H6" s="67">
        <f>IF(B6="","",IF(OR(C6="",E6=""),"Faltan datos",IF(COUNTIF(Pacientes!$A$2:$A$46,C6)=0,"Código no registrado","OK")))</f>
        <v/>
      </c>
    </row>
    <row r="7" ht="15" customHeight="1" s="27">
      <c r="A7" s="39">
        <f>IF(B7="","",ROW()-2)</f>
        <v/>
      </c>
      <c r="B7" s="50" t="n">
        <v>46237</v>
      </c>
      <c r="C7" s="40" t="inlineStr">
        <is>
          <t>SIM-01</t>
        </is>
      </c>
      <c r="D7" s="40" t="inlineStr">
        <is>
          <t>Sí</t>
        </is>
      </c>
      <c r="E7" s="40" t="inlineStr">
        <is>
          <t>Asistió</t>
        </is>
      </c>
      <c r="F7" s="40" t="n"/>
      <c r="G7" s="40" t="inlineStr">
        <is>
          <t>No</t>
        </is>
      </c>
      <c r="H7" s="67">
        <f>IF(B7="","",IF(OR(C7="",E7=""),"Faltan datos",IF(COUNTIF(Pacientes!$A$2:$A$46,C7)=0,"Código no registrado","OK")))</f>
        <v/>
      </c>
    </row>
    <row r="8" ht="15" customHeight="1" s="27">
      <c r="A8" s="39">
        <f>IF(B8="","",ROW()-2)</f>
        <v/>
      </c>
      <c r="B8" s="50" t="n">
        <v>46237</v>
      </c>
      <c r="C8" s="40" t="inlineStr">
        <is>
          <t>SIM-24</t>
        </is>
      </c>
      <c r="D8" s="40" t="inlineStr">
        <is>
          <t>Sí</t>
        </is>
      </c>
      <c r="E8" s="40" t="inlineStr">
        <is>
          <t>Asistió</t>
        </is>
      </c>
      <c r="F8" s="40" t="n"/>
      <c r="G8" s="40" t="inlineStr">
        <is>
          <t>No</t>
        </is>
      </c>
      <c r="H8" s="67">
        <f>IF(B8="","",IF(OR(C8="",E8=""),"Faltan datos",IF(COUNTIF(Pacientes!$A$2:$A$46,C8)=0,"Código no registrado","OK")))</f>
        <v/>
      </c>
    </row>
    <row r="9" ht="15" customHeight="1" s="27">
      <c r="A9" s="39">
        <f>IF(B9="","",ROW()-2)</f>
        <v/>
      </c>
      <c r="B9" s="50" t="n">
        <v>46237</v>
      </c>
      <c r="C9" s="40" t="inlineStr">
        <is>
          <t>SIM-06</t>
        </is>
      </c>
      <c r="D9" s="40" t="inlineStr">
        <is>
          <t>Sí</t>
        </is>
      </c>
      <c r="E9" s="40" t="inlineStr">
        <is>
          <t>Asistió</t>
        </is>
      </c>
      <c r="F9" s="40" t="n"/>
      <c r="G9" s="40" t="inlineStr">
        <is>
          <t>No</t>
        </is>
      </c>
      <c r="H9" s="67">
        <f>IF(B9="","",IF(OR(C9="",E9=""),"Faltan datos",IF(COUNTIF(Pacientes!$A$2:$A$46,C9)=0,"Código no registrado","OK")))</f>
        <v/>
      </c>
    </row>
    <row r="10" ht="15" customHeight="1" s="27">
      <c r="A10" s="39">
        <f>IF(B10="","",ROW()-2)</f>
        <v/>
      </c>
      <c r="B10" s="50" t="n">
        <v>46237</v>
      </c>
      <c r="C10" s="40" t="inlineStr">
        <is>
          <t>SIM-27</t>
        </is>
      </c>
      <c r="D10" s="40" t="inlineStr">
        <is>
          <t>Sí</t>
        </is>
      </c>
      <c r="E10" s="40" t="inlineStr">
        <is>
          <t>Asistió</t>
        </is>
      </c>
      <c r="F10" s="40" t="n"/>
      <c r="G10" s="40" t="inlineStr">
        <is>
          <t>No</t>
        </is>
      </c>
      <c r="H10" s="67">
        <f>IF(B10="","",IF(OR(C10="",E10=""),"Faltan datos",IF(COUNTIF(Pacientes!$A$2:$A$46,C10)=0,"Código no registrado","OK")))</f>
        <v/>
      </c>
    </row>
    <row r="11" ht="15" customHeight="1" s="27">
      <c r="A11" s="39">
        <f>IF(B11="","",ROW()-2)</f>
        <v/>
      </c>
      <c r="B11" s="50" t="n">
        <v>46237</v>
      </c>
      <c r="C11" s="40" t="inlineStr">
        <is>
          <t>SIM-13</t>
        </is>
      </c>
      <c r="D11" s="40" t="inlineStr">
        <is>
          <t>Sí</t>
        </is>
      </c>
      <c r="E11" s="40" t="inlineStr">
        <is>
          <t>Asistió</t>
        </is>
      </c>
      <c r="F11" s="40" t="n"/>
      <c r="G11" s="40" t="inlineStr">
        <is>
          <t>No</t>
        </is>
      </c>
      <c r="H11" s="67">
        <f>IF(B11="","",IF(OR(C11="",E11=""),"Faltan datos",IF(COUNTIF(Pacientes!$A$2:$A$46,C11)=0,"Código no registrado","OK")))</f>
        <v/>
      </c>
    </row>
    <row r="12" ht="15" customHeight="1" s="27">
      <c r="A12" s="39">
        <f>IF(B12="","",ROW()-2)</f>
        <v/>
      </c>
      <c r="B12" s="50" t="n">
        <v>46237</v>
      </c>
      <c r="C12" s="40" t="inlineStr">
        <is>
          <t>SIM-10</t>
        </is>
      </c>
      <c r="D12" s="40" t="inlineStr">
        <is>
          <t>Sí</t>
        </is>
      </c>
      <c r="E12" s="40" t="inlineStr">
        <is>
          <t>Asistió</t>
        </is>
      </c>
      <c r="F12" s="40" t="n"/>
      <c r="G12" s="40" t="inlineStr">
        <is>
          <t>Sí</t>
        </is>
      </c>
      <c r="H12" s="67">
        <f>IF(B12="","",IF(OR(C12="",E12=""),"Faltan datos",IF(COUNTIF(Pacientes!$A$2:$A$46,C12)=0,"Código no registrado","OK")))</f>
        <v/>
      </c>
    </row>
    <row r="13" ht="15" customHeight="1" s="27">
      <c r="A13" s="39">
        <f>IF(B13="","",ROW()-2)</f>
        <v/>
      </c>
      <c r="B13" s="50" t="n">
        <v>46237</v>
      </c>
      <c r="C13" s="40" t="inlineStr">
        <is>
          <t>SIM-27</t>
        </is>
      </c>
      <c r="D13" s="40" t="inlineStr">
        <is>
          <t>Sí</t>
        </is>
      </c>
      <c r="E13" s="40" t="inlineStr">
        <is>
          <t>Asistió</t>
        </is>
      </c>
      <c r="F13" s="40" t="n"/>
      <c r="G13" s="40" t="inlineStr">
        <is>
          <t>No</t>
        </is>
      </c>
      <c r="H13" s="67">
        <f>IF(B13="","",IF(OR(C13="",E13=""),"Faltan datos",IF(COUNTIF(Pacientes!$A$2:$A$46,C13)=0,"Código no registrado","OK")))</f>
        <v/>
      </c>
    </row>
    <row r="14" ht="15" customHeight="1" s="27">
      <c r="A14" s="39">
        <f>IF(B14="","",ROW()-2)</f>
        <v/>
      </c>
      <c r="B14" s="50" t="n">
        <v>46239</v>
      </c>
      <c r="C14" s="40" t="inlineStr">
        <is>
          <t>SIM-18</t>
        </is>
      </c>
      <c r="D14" s="40" t="inlineStr">
        <is>
          <t>Sí</t>
        </is>
      </c>
      <c r="E14" s="40" t="inlineStr">
        <is>
          <t>Asistió</t>
        </is>
      </c>
      <c r="F14" s="40" t="n"/>
      <c r="G14" s="40" t="inlineStr">
        <is>
          <t>No</t>
        </is>
      </c>
      <c r="H14" s="67">
        <f>IF(B14="","",IF(OR(C14="",E14=""),"Faltan datos",IF(COUNTIF(Pacientes!$A$2:$A$46,C14)=0,"Código no registrado","OK")))</f>
        <v/>
      </c>
    </row>
    <row r="15" ht="15" customHeight="1" s="27">
      <c r="A15" s="39">
        <f>IF(B15="","",ROW()-2)</f>
        <v/>
      </c>
      <c r="B15" s="50" t="n">
        <v>46239</v>
      </c>
      <c r="C15" s="40" t="inlineStr">
        <is>
          <t>SIM-23</t>
        </is>
      </c>
      <c r="D15" s="40" t="inlineStr">
        <is>
          <t>Sí</t>
        </is>
      </c>
      <c r="E15" s="40" t="inlineStr">
        <is>
          <t>Asistió</t>
        </is>
      </c>
      <c r="F15" s="40" t="n"/>
      <c r="G15" s="40" t="inlineStr">
        <is>
          <t>No</t>
        </is>
      </c>
      <c r="H15" s="67">
        <f>IF(B15="","",IF(OR(C15="",E15=""),"Faltan datos",IF(COUNTIF(Pacientes!$A$2:$A$46,C15)=0,"Código no registrado","OK")))</f>
        <v/>
      </c>
    </row>
    <row r="16" ht="15" customHeight="1" s="27">
      <c r="A16" s="39">
        <f>IF(B16="","",ROW()-2)</f>
        <v/>
      </c>
      <c r="B16" s="50" t="n">
        <v>46239</v>
      </c>
      <c r="C16" s="40" t="inlineStr">
        <is>
          <t>SIM-21</t>
        </is>
      </c>
      <c r="D16" s="40" t="inlineStr">
        <is>
          <t>Sí</t>
        </is>
      </c>
      <c r="E16" s="40" t="inlineStr">
        <is>
          <t>Asistió</t>
        </is>
      </c>
      <c r="F16" s="40" t="n"/>
      <c r="G16" s="40" t="inlineStr">
        <is>
          <t>No</t>
        </is>
      </c>
      <c r="H16" s="67">
        <f>IF(B16="","",IF(OR(C16="",E16=""),"Faltan datos",IF(COUNTIF(Pacientes!$A$2:$A$46,C16)=0,"Código no registrado","OK")))</f>
        <v/>
      </c>
    </row>
    <row r="17" ht="15" customHeight="1" s="27">
      <c r="A17" s="39">
        <f>IF(B17="","",ROW()-2)</f>
        <v/>
      </c>
      <c r="B17" s="50" t="n">
        <v>46239</v>
      </c>
      <c r="C17" s="40" t="inlineStr">
        <is>
          <t>SIM-26</t>
        </is>
      </c>
      <c r="D17" s="40" t="inlineStr">
        <is>
          <t>Sí</t>
        </is>
      </c>
      <c r="E17" s="40" t="inlineStr">
        <is>
          <t>Cancelada</t>
        </is>
      </c>
      <c r="F17" s="40" t="inlineStr">
        <is>
          <t>Aviso previo</t>
        </is>
      </c>
      <c r="G17" s="40" t="inlineStr">
        <is>
          <t>No</t>
        </is>
      </c>
      <c r="H17" s="67">
        <f>IF(B17="","",IF(OR(C17="",E17=""),"Faltan datos",IF(COUNTIF(Pacientes!$A$2:$A$46,C17)=0,"Código no registrado","OK")))</f>
        <v/>
      </c>
    </row>
    <row r="18" ht="15" customHeight="1" s="27">
      <c r="A18" s="39">
        <f>IF(B18="","",ROW()-2)</f>
        <v/>
      </c>
      <c r="B18" s="50" t="n">
        <v>46239</v>
      </c>
      <c r="C18" s="40" t="inlineStr">
        <is>
          <t>SIM-30</t>
        </is>
      </c>
      <c r="D18" s="40" t="inlineStr">
        <is>
          <t>Sí</t>
        </is>
      </c>
      <c r="E18" s="40" t="inlineStr">
        <is>
          <t>Asistió</t>
        </is>
      </c>
      <c r="F18" s="40" t="n"/>
      <c r="G18" s="40" t="inlineStr">
        <is>
          <t>Sí</t>
        </is>
      </c>
      <c r="H18" s="67">
        <f>IF(B18="","",IF(OR(C18="",E18=""),"Faltan datos",IF(COUNTIF(Pacientes!$A$2:$A$46,C18)=0,"Código no registrado","OK")))</f>
        <v/>
      </c>
    </row>
    <row r="19" ht="15" customHeight="1" s="27">
      <c r="A19" s="39">
        <f>IF(B19="","",ROW()-2)</f>
        <v/>
      </c>
      <c r="B19" s="50" t="n">
        <v>46239</v>
      </c>
      <c r="C19" s="40" t="inlineStr">
        <is>
          <t>SIM-10</t>
        </is>
      </c>
      <c r="D19" s="40" t="inlineStr">
        <is>
          <t>Sí</t>
        </is>
      </c>
      <c r="E19" s="40" t="inlineStr">
        <is>
          <t>Asistió</t>
        </is>
      </c>
      <c r="F19" s="40" t="n"/>
      <c r="G19" s="40" t="inlineStr">
        <is>
          <t>No</t>
        </is>
      </c>
      <c r="H19" s="67">
        <f>IF(B19="","",IF(OR(C19="",E19=""),"Faltan datos",IF(COUNTIF(Pacientes!$A$2:$A$46,C19)=0,"Código no registrado","OK")))</f>
        <v/>
      </c>
    </row>
    <row r="20" ht="15" customHeight="1" s="27">
      <c r="A20" s="39">
        <f>IF(B20="","",ROW()-2)</f>
        <v/>
      </c>
      <c r="B20" s="50" t="n">
        <v>46239</v>
      </c>
      <c r="C20" s="40" t="inlineStr">
        <is>
          <t>SIM-03</t>
        </is>
      </c>
      <c r="D20" s="40" t="inlineStr">
        <is>
          <t>Sí</t>
        </is>
      </c>
      <c r="E20" s="40" t="inlineStr">
        <is>
          <t>Asistió</t>
        </is>
      </c>
      <c r="F20" s="40" t="n"/>
      <c r="G20" s="40" t="inlineStr">
        <is>
          <t>No</t>
        </is>
      </c>
      <c r="H20" s="67">
        <f>IF(B20="","",IF(OR(C20="",E20=""),"Faltan datos",IF(COUNTIF(Pacientes!$A$2:$A$46,C20)=0,"Código no registrado","OK")))</f>
        <v/>
      </c>
    </row>
    <row r="21" ht="15" customHeight="1" s="27">
      <c r="A21" s="39">
        <f>IF(B21="","",ROW()-2)</f>
        <v/>
      </c>
      <c r="B21" s="50" t="n">
        <v>46239</v>
      </c>
      <c r="C21" s="40" t="inlineStr">
        <is>
          <t>SIM-10</t>
        </is>
      </c>
      <c r="D21" s="40" t="inlineStr">
        <is>
          <t>Sí</t>
        </is>
      </c>
      <c r="E21" s="40" t="inlineStr">
        <is>
          <t>Asistió</t>
        </is>
      </c>
      <c r="F21" s="40" t="n"/>
      <c r="G21" s="40" t="inlineStr">
        <is>
          <t>No</t>
        </is>
      </c>
      <c r="H21" s="67">
        <f>IF(B21="","",IF(OR(C21="",E21=""),"Faltan datos",IF(COUNTIF(Pacientes!$A$2:$A$46,C21)=0,"Código no registrado","OK")))</f>
        <v/>
      </c>
    </row>
    <row r="22" ht="15" customHeight="1" s="27">
      <c r="A22" s="39">
        <f>IF(B22="","",ROW()-2)</f>
        <v/>
      </c>
      <c r="B22" s="50" t="n">
        <v>46239</v>
      </c>
      <c r="C22" s="40" t="inlineStr">
        <is>
          <t>SIM-04</t>
        </is>
      </c>
      <c r="D22" s="40" t="inlineStr">
        <is>
          <t>Sí</t>
        </is>
      </c>
      <c r="E22" s="40" t="inlineStr">
        <is>
          <t>No asistió</t>
        </is>
      </c>
      <c r="F22" s="40" t="inlineStr">
        <is>
          <t>Sin aviso</t>
        </is>
      </c>
      <c r="G22" s="40" t="inlineStr">
        <is>
          <t>No</t>
        </is>
      </c>
      <c r="H22" s="67">
        <f>IF(B22="","",IF(OR(C22="",E22=""),"Faltan datos",IF(COUNTIF(Pacientes!$A$2:$A$46,C22)=0,"Código no registrado","OK")))</f>
        <v/>
      </c>
    </row>
    <row r="23" ht="15" customHeight="1" s="27">
      <c r="A23" s="39">
        <f>IF(B23="","",ROW()-2)</f>
        <v/>
      </c>
      <c r="B23" s="50" t="n">
        <v>46239</v>
      </c>
      <c r="C23" s="40" t="inlineStr">
        <is>
          <t>SIM-02</t>
        </is>
      </c>
      <c r="D23" s="40" t="inlineStr">
        <is>
          <t>Sí</t>
        </is>
      </c>
      <c r="E23" s="40" t="inlineStr">
        <is>
          <t>Asistió</t>
        </is>
      </c>
      <c r="F23" s="40" t="n"/>
      <c r="G23" s="40" t="inlineStr">
        <is>
          <t>No</t>
        </is>
      </c>
      <c r="H23" s="67">
        <f>IF(B23="","",IF(OR(C23="",E23=""),"Faltan datos",IF(COUNTIF(Pacientes!$A$2:$A$46,C23)=0,"Código no registrado","OK")))</f>
        <v/>
      </c>
    </row>
    <row r="24" ht="15" customHeight="1" s="27">
      <c r="A24" s="39">
        <f>IF(B24="","",ROW()-2)</f>
        <v/>
      </c>
      <c r="B24" s="50" t="n">
        <v>46241</v>
      </c>
      <c r="C24" s="40" t="inlineStr">
        <is>
          <t>SIM-02</t>
        </is>
      </c>
      <c r="D24" s="40" t="inlineStr">
        <is>
          <t>Sí</t>
        </is>
      </c>
      <c r="E24" s="40" t="inlineStr">
        <is>
          <t>Asistió</t>
        </is>
      </c>
      <c r="F24" s="40" t="n"/>
      <c r="G24" s="40" t="inlineStr">
        <is>
          <t>No</t>
        </is>
      </c>
      <c r="H24" s="67">
        <f>IF(B24="","",IF(OR(C24="",E24=""),"Faltan datos",IF(COUNTIF(Pacientes!$A$2:$A$46,C24)=0,"Código no registrado","OK")))</f>
        <v/>
      </c>
    </row>
    <row r="25" ht="15" customHeight="1" s="27">
      <c r="A25" s="39">
        <f>IF(B25="","",ROW()-2)</f>
        <v/>
      </c>
      <c r="B25" s="50" t="n">
        <v>46241</v>
      </c>
      <c r="C25" s="40" t="inlineStr">
        <is>
          <t>SIM-30</t>
        </is>
      </c>
      <c r="D25" s="40" t="inlineStr">
        <is>
          <t>Sí</t>
        </is>
      </c>
      <c r="E25" s="40" t="inlineStr">
        <is>
          <t>Asistió</t>
        </is>
      </c>
      <c r="F25" s="40" t="n"/>
      <c r="G25" s="40" t="inlineStr">
        <is>
          <t>No</t>
        </is>
      </c>
      <c r="H25" s="67">
        <f>IF(B25="","",IF(OR(C25="",E25=""),"Faltan datos",IF(COUNTIF(Pacientes!$A$2:$A$46,C25)=0,"Código no registrado","OK")))</f>
        <v/>
      </c>
    </row>
    <row r="26" ht="15" customHeight="1" s="27">
      <c r="A26" s="39">
        <f>IF(B26="","",ROW()-2)</f>
        <v/>
      </c>
      <c r="B26" s="50" t="n">
        <v>46241</v>
      </c>
      <c r="C26" s="40" t="inlineStr">
        <is>
          <t>SIM-25</t>
        </is>
      </c>
      <c r="D26" s="40" t="inlineStr">
        <is>
          <t>Sí</t>
        </is>
      </c>
      <c r="E26" s="40" t="inlineStr">
        <is>
          <t>No asistió</t>
        </is>
      </c>
      <c r="F26" s="40" t="inlineStr">
        <is>
          <t>Sin aviso</t>
        </is>
      </c>
      <c r="G26" s="40" t="inlineStr">
        <is>
          <t>No</t>
        </is>
      </c>
      <c r="H26" s="67">
        <f>IF(B26="","",IF(OR(C26="",E26=""),"Faltan datos",IF(COUNTIF(Pacientes!$A$2:$A$46,C26)=0,"Código no registrado","OK")))</f>
        <v/>
      </c>
    </row>
    <row r="27" ht="15" customHeight="1" s="27">
      <c r="A27" s="39">
        <f>IF(B27="","",ROW()-2)</f>
        <v/>
      </c>
      <c r="B27" s="50" t="n">
        <v>46241</v>
      </c>
      <c r="C27" s="40" t="inlineStr">
        <is>
          <t>SIM-07</t>
        </is>
      </c>
      <c r="D27" s="40" t="inlineStr">
        <is>
          <t>Sí</t>
        </is>
      </c>
      <c r="E27" s="40" t="inlineStr">
        <is>
          <t>Asistió</t>
        </is>
      </c>
      <c r="F27" s="40" t="n"/>
      <c r="G27" s="40" t="inlineStr">
        <is>
          <t>No</t>
        </is>
      </c>
      <c r="H27" s="67">
        <f>IF(B27="","",IF(OR(C27="",E27=""),"Faltan datos",IF(COUNTIF(Pacientes!$A$2:$A$46,C27)=0,"Código no registrado","OK")))</f>
        <v/>
      </c>
    </row>
    <row r="28" ht="15" customHeight="1" s="27">
      <c r="A28" s="39">
        <f>IF(B28="","",ROW()-2)</f>
        <v/>
      </c>
      <c r="B28" s="50" t="n">
        <v>46241</v>
      </c>
      <c r="C28" s="40" t="inlineStr">
        <is>
          <t>SIM-03</t>
        </is>
      </c>
      <c r="D28" s="40" t="inlineStr">
        <is>
          <t>Sí</t>
        </is>
      </c>
      <c r="E28" s="40" t="inlineStr">
        <is>
          <t>Asistió</t>
        </is>
      </c>
      <c r="F28" s="40" t="n"/>
      <c r="G28" s="40" t="inlineStr">
        <is>
          <t>No</t>
        </is>
      </c>
      <c r="H28" s="67">
        <f>IF(B28="","",IF(OR(C28="",E28=""),"Faltan datos",IF(COUNTIF(Pacientes!$A$2:$A$46,C28)=0,"Código no registrado","OK")))</f>
        <v/>
      </c>
    </row>
    <row r="29" ht="15" customHeight="1" s="27">
      <c r="A29" s="39">
        <f>IF(B29="","",ROW()-2)</f>
        <v/>
      </c>
      <c r="B29" s="50" t="n">
        <v>46241</v>
      </c>
      <c r="C29" s="40" t="inlineStr">
        <is>
          <t>SIM-02</t>
        </is>
      </c>
      <c r="D29" s="40" t="inlineStr">
        <is>
          <t>Sí</t>
        </is>
      </c>
      <c r="E29" s="40" t="inlineStr">
        <is>
          <t>Reprogramada</t>
        </is>
      </c>
      <c r="F29" s="40" t="inlineStr">
        <is>
          <t>Aviso previo</t>
        </is>
      </c>
      <c r="G29" s="40" t="inlineStr">
        <is>
          <t>No</t>
        </is>
      </c>
      <c r="H29" s="67">
        <f>IF(B29="","",IF(OR(C29="",E29=""),"Faltan datos",IF(COUNTIF(Pacientes!$A$2:$A$46,C29)=0,"Código no registrado","OK")))</f>
        <v/>
      </c>
    </row>
    <row r="30" ht="15" customHeight="1" s="27">
      <c r="A30" s="39">
        <f>IF(B30="","",ROW()-2)</f>
        <v/>
      </c>
      <c r="B30" s="50" t="n">
        <v>46241</v>
      </c>
      <c r="C30" s="40" t="inlineStr">
        <is>
          <t>SIM-17</t>
        </is>
      </c>
      <c r="D30" s="40" t="inlineStr">
        <is>
          <t>Sí</t>
        </is>
      </c>
      <c r="E30" s="40" t="inlineStr">
        <is>
          <t>Asistió</t>
        </is>
      </c>
      <c r="F30" s="40" t="n"/>
      <c r="G30" s="40" t="inlineStr">
        <is>
          <t>Sí</t>
        </is>
      </c>
      <c r="H30" s="67">
        <f>IF(B30="","",IF(OR(C30="",E30=""),"Faltan datos",IF(COUNTIF(Pacientes!$A$2:$A$46,C30)=0,"Código no registrado","OK")))</f>
        <v/>
      </c>
    </row>
    <row r="31" ht="15" customHeight="1" s="27">
      <c r="A31" s="39">
        <f>IF(B31="","",ROW()-2)</f>
        <v/>
      </c>
      <c r="B31" s="50" t="n">
        <v>46241</v>
      </c>
      <c r="C31" s="40" t="inlineStr">
        <is>
          <t>SIM-18</t>
        </is>
      </c>
      <c r="D31" s="40" t="inlineStr">
        <is>
          <t>Sí</t>
        </is>
      </c>
      <c r="E31" s="40" t="inlineStr">
        <is>
          <t>Asistió</t>
        </is>
      </c>
      <c r="F31" s="40" t="n"/>
      <c r="G31" s="40" t="inlineStr">
        <is>
          <t>No</t>
        </is>
      </c>
      <c r="H31" s="67">
        <f>IF(B31="","",IF(OR(C31="",E31=""),"Faltan datos",IF(COUNTIF(Pacientes!$A$2:$A$46,C31)=0,"Código no registrado","OK")))</f>
        <v/>
      </c>
    </row>
    <row r="32" ht="15" customHeight="1" s="27">
      <c r="A32" s="39">
        <f>IF(B32="","",ROW()-2)</f>
        <v/>
      </c>
      <c r="B32" s="50" t="n">
        <v>46241</v>
      </c>
      <c r="C32" s="40" t="inlineStr">
        <is>
          <t>SIM-13</t>
        </is>
      </c>
      <c r="D32" s="40" t="inlineStr">
        <is>
          <t>Sí</t>
        </is>
      </c>
      <c r="E32" s="40" t="inlineStr">
        <is>
          <t>Asistió</t>
        </is>
      </c>
      <c r="F32" s="40" t="n"/>
      <c r="G32" s="40" t="inlineStr">
        <is>
          <t>No</t>
        </is>
      </c>
      <c r="H32" s="67">
        <f>IF(B32="","",IF(OR(C32="",E32=""),"Faltan datos",IF(COUNTIF(Pacientes!$A$2:$A$46,C32)=0,"Código no registrado","OK")))</f>
        <v/>
      </c>
    </row>
    <row r="33" ht="15" customHeight="1" s="27">
      <c r="A33" s="39">
        <f>IF(B33="","",ROW()-2)</f>
        <v/>
      </c>
      <c r="B33" s="50" t="n">
        <v>46241</v>
      </c>
      <c r="C33" s="40" t="inlineStr">
        <is>
          <t>SIM-23</t>
        </is>
      </c>
      <c r="D33" s="40" t="inlineStr">
        <is>
          <t>Sí</t>
        </is>
      </c>
      <c r="E33" s="40" t="inlineStr">
        <is>
          <t>Asistió</t>
        </is>
      </c>
      <c r="F33" s="40" t="n"/>
      <c r="G33" s="40" t="inlineStr">
        <is>
          <t>No</t>
        </is>
      </c>
      <c r="H33" s="67">
        <f>IF(B33="","",IF(OR(C33="",E33=""),"Faltan datos",IF(COUNTIF(Pacientes!$A$2:$A$46,C33)=0,"Código no registrado","OK")))</f>
        <v/>
      </c>
    </row>
    <row r="34" ht="15" customHeight="1" s="27">
      <c r="A34" s="39">
        <f>IF(B34="","",ROW()-2)</f>
        <v/>
      </c>
      <c r="B34" s="50" t="n">
        <v>46241</v>
      </c>
      <c r="C34" s="40" t="inlineStr">
        <is>
          <t>SIM-30</t>
        </is>
      </c>
      <c r="D34" s="40" t="inlineStr">
        <is>
          <t>Sí</t>
        </is>
      </c>
      <c r="E34" s="40" t="inlineStr">
        <is>
          <t>Cancelada</t>
        </is>
      </c>
      <c r="F34" s="40" t="inlineStr">
        <is>
          <t>Aviso previo</t>
        </is>
      </c>
      <c r="G34" s="40" t="inlineStr">
        <is>
          <t>No</t>
        </is>
      </c>
      <c r="H34" s="67">
        <f>IF(B34="","",IF(OR(C34="",E34=""),"Faltan datos",IF(COUNTIF(Pacientes!$A$2:$A$46,C34)=0,"Código no registrado","OK")))</f>
        <v/>
      </c>
    </row>
    <row r="35" ht="15" customHeight="1" s="27">
      <c r="A35" s="39">
        <f>IF(B35="","",ROW()-2)</f>
        <v/>
      </c>
      <c r="B35" s="50" t="n">
        <v>46241</v>
      </c>
      <c r="C35" s="40" t="inlineStr">
        <is>
          <t>SIM-27</t>
        </is>
      </c>
      <c r="D35" s="40" t="inlineStr">
        <is>
          <t>Sí</t>
        </is>
      </c>
      <c r="E35" s="40" t="inlineStr">
        <is>
          <t>Reprogramada</t>
        </is>
      </c>
      <c r="F35" s="40" t="inlineStr">
        <is>
          <t>Aviso previo</t>
        </is>
      </c>
      <c r="G35" s="40" t="inlineStr">
        <is>
          <t>No</t>
        </is>
      </c>
      <c r="H35" s="67">
        <f>IF(B35="","",IF(OR(C35="",E35=""),"Faltan datos",IF(COUNTIF(Pacientes!$A$2:$A$46,C35)=0,"Código no registrado","OK")))</f>
        <v/>
      </c>
    </row>
    <row r="36" ht="15" customHeight="1" s="27">
      <c r="A36" s="39">
        <f>IF(B36="","",ROW()-2)</f>
        <v/>
      </c>
      <c r="B36" s="50" t="n">
        <v>46244</v>
      </c>
      <c r="C36" s="40" t="inlineStr">
        <is>
          <t>SIM-24</t>
        </is>
      </c>
      <c r="D36" s="40" t="inlineStr">
        <is>
          <t>Sí</t>
        </is>
      </c>
      <c r="E36" s="40" t="inlineStr">
        <is>
          <t>Asistió</t>
        </is>
      </c>
      <c r="F36" s="40" t="n"/>
      <c r="G36" s="40" t="inlineStr">
        <is>
          <t>No</t>
        </is>
      </c>
      <c r="H36" s="67">
        <f>IF(B36="","",IF(OR(C36="",E36=""),"Faltan datos",IF(COUNTIF(Pacientes!$A$2:$A$46,C36)=0,"Código no registrado","OK")))</f>
        <v/>
      </c>
    </row>
    <row r="37" ht="15" customHeight="1" s="27">
      <c r="A37" s="39">
        <f>IF(B37="","",ROW()-2)</f>
        <v/>
      </c>
      <c r="B37" s="50" t="n">
        <v>46244</v>
      </c>
      <c r="C37" s="40" t="inlineStr">
        <is>
          <t>SIM-08</t>
        </is>
      </c>
      <c r="D37" s="40" t="inlineStr">
        <is>
          <t>Sí</t>
        </is>
      </c>
      <c r="E37" s="40" t="inlineStr">
        <is>
          <t>Cancelada</t>
        </is>
      </c>
      <c r="F37" s="40" t="inlineStr">
        <is>
          <t>Aviso previo</t>
        </is>
      </c>
      <c r="G37" s="40" t="inlineStr">
        <is>
          <t>No</t>
        </is>
      </c>
      <c r="H37" s="67">
        <f>IF(B37="","",IF(OR(C37="",E37=""),"Faltan datos",IF(COUNTIF(Pacientes!$A$2:$A$46,C37)=0,"Código no registrado","OK")))</f>
        <v/>
      </c>
    </row>
    <row r="38" ht="15" customHeight="1" s="27">
      <c r="A38" s="39">
        <f>IF(B38="","",ROW()-2)</f>
        <v/>
      </c>
      <c r="B38" s="50" t="n">
        <v>46244</v>
      </c>
      <c r="C38" s="40" t="inlineStr">
        <is>
          <t>SIM-13</t>
        </is>
      </c>
      <c r="D38" s="40" t="inlineStr">
        <is>
          <t>Sí</t>
        </is>
      </c>
      <c r="E38" s="40" t="inlineStr">
        <is>
          <t>Asistió</t>
        </is>
      </c>
      <c r="F38" s="40" t="n"/>
      <c r="G38" s="40" t="inlineStr">
        <is>
          <t>No</t>
        </is>
      </c>
      <c r="H38" s="67">
        <f>IF(B38="","",IF(OR(C38="",E38=""),"Faltan datos",IF(COUNTIF(Pacientes!$A$2:$A$46,C38)=0,"Código no registrado","OK")))</f>
        <v/>
      </c>
    </row>
    <row r="39" ht="15" customHeight="1" s="27">
      <c r="A39" s="39">
        <f>IF(B39="","",ROW()-2)</f>
        <v/>
      </c>
      <c r="B39" s="50" t="n">
        <v>46244</v>
      </c>
      <c r="C39" s="40" t="inlineStr">
        <is>
          <t>SIM-07</t>
        </is>
      </c>
      <c r="D39" s="40" t="inlineStr">
        <is>
          <t>Sí</t>
        </is>
      </c>
      <c r="E39" s="40" t="inlineStr">
        <is>
          <t>Asistió</t>
        </is>
      </c>
      <c r="F39" s="40" t="n"/>
      <c r="G39" s="40" t="inlineStr">
        <is>
          <t>No</t>
        </is>
      </c>
      <c r="H39" s="67">
        <f>IF(B39="","",IF(OR(C39="",E39=""),"Faltan datos",IF(COUNTIF(Pacientes!$A$2:$A$46,C39)=0,"Código no registrado","OK")))</f>
        <v/>
      </c>
    </row>
    <row r="40" ht="15" customHeight="1" s="27">
      <c r="A40" s="39">
        <f>IF(B40="","",ROW()-2)</f>
        <v/>
      </c>
      <c r="B40" s="50" t="n">
        <v>46244</v>
      </c>
      <c r="C40" s="40" t="inlineStr">
        <is>
          <t>SIM-16</t>
        </is>
      </c>
      <c r="D40" s="40" t="inlineStr">
        <is>
          <t>Sí</t>
        </is>
      </c>
      <c r="E40" s="40" t="inlineStr">
        <is>
          <t>No asistió</t>
        </is>
      </c>
      <c r="F40" s="40" t="inlineStr">
        <is>
          <t>Sin aviso</t>
        </is>
      </c>
      <c r="G40" s="40" t="inlineStr">
        <is>
          <t>No</t>
        </is>
      </c>
      <c r="H40" s="67">
        <f>IF(B40="","",IF(OR(C40="",E40=""),"Faltan datos",IF(COUNTIF(Pacientes!$A$2:$A$46,C40)=0,"Código no registrado","OK")))</f>
        <v/>
      </c>
    </row>
    <row r="41" ht="15" customHeight="1" s="27">
      <c r="A41" s="39">
        <f>IF(B41="","",ROW()-2)</f>
        <v/>
      </c>
      <c r="B41" s="50" t="n">
        <v>46244</v>
      </c>
      <c r="C41" s="40" t="inlineStr">
        <is>
          <t>SIM-22</t>
        </is>
      </c>
      <c r="D41" s="40" t="inlineStr">
        <is>
          <t>Sí</t>
        </is>
      </c>
      <c r="E41" s="40" t="inlineStr">
        <is>
          <t>Asistió</t>
        </is>
      </c>
      <c r="F41" s="40" t="n"/>
      <c r="G41" s="40" t="inlineStr">
        <is>
          <t>No</t>
        </is>
      </c>
      <c r="H41" s="67">
        <f>IF(B41="","",IF(OR(C41="",E41=""),"Faltan datos",IF(COUNTIF(Pacientes!$A$2:$A$46,C41)=0,"Código no registrado","OK")))</f>
        <v/>
      </c>
    </row>
    <row r="42" ht="15" customHeight="1" s="27">
      <c r="A42" s="39">
        <f>IF(B42="","",ROW()-2)</f>
        <v/>
      </c>
      <c r="B42" s="50" t="n">
        <v>46244</v>
      </c>
      <c r="C42" s="40" t="inlineStr">
        <is>
          <t>SIM-17</t>
        </is>
      </c>
      <c r="D42" s="40" t="inlineStr">
        <is>
          <t>Sí</t>
        </is>
      </c>
      <c r="E42" s="40" t="inlineStr">
        <is>
          <t>Asistió</t>
        </is>
      </c>
      <c r="F42" s="40" t="n"/>
      <c r="G42" s="40" t="inlineStr">
        <is>
          <t>No</t>
        </is>
      </c>
      <c r="H42" s="67">
        <f>IF(B42="","",IF(OR(C42="",E42=""),"Faltan datos",IF(COUNTIF(Pacientes!$A$2:$A$46,C42)=0,"Código no registrado","OK")))</f>
        <v/>
      </c>
    </row>
    <row r="43" ht="15" customHeight="1" s="27">
      <c r="A43" s="39">
        <f>IF(B43="","",ROW()-2)</f>
        <v/>
      </c>
      <c r="B43" s="50" t="n">
        <v>46244</v>
      </c>
      <c r="C43" s="40" t="inlineStr">
        <is>
          <t>SIM-28</t>
        </is>
      </c>
      <c r="D43" s="40" t="inlineStr">
        <is>
          <t>Sí</t>
        </is>
      </c>
      <c r="E43" s="40" t="inlineStr">
        <is>
          <t>Asistió</t>
        </is>
      </c>
      <c r="F43" s="40" t="n"/>
      <c r="G43" s="40" t="inlineStr">
        <is>
          <t>Sí</t>
        </is>
      </c>
      <c r="H43" s="67">
        <f>IF(B43="","",IF(OR(C43="",E43=""),"Faltan datos",IF(COUNTIF(Pacientes!$A$2:$A$46,C43)=0,"Código no registrado","OK")))</f>
        <v/>
      </c>
    </row>
    <row r="44" ht="15" customHeight="1" s="27">
      <c r="A44" s="39">
        <f>IF(B44="","",ROW()-2)</f>
        <v/>
      </c>
      <c r="B44" s="50" t="n">
        <v>46244</v>
      </c>
      <c r="C44" s="40" t="inlineStr">
        <is>
          <t>SIM-14</t>
        </is>
      </c>
      <c r="D44" s="40" t="inlineStr">
        <is>
          <t>Sí</t>
        </is>
      </c>
      <c r="E44" s="40" t="inlineStr">
        <is>
          <t>Asistió</t>
        </is>
      </c>
      <c r="F44" s="40" t="n"/>
      <c r="G44" s="40" t="inlineStr">
        <is>
          <t>No</t>
        </is>
      </c>
      <c r="H44" s="67">
        <f>IF(B44="","",IF(OR(C44="",E44=""),"Faltan datos",IF(COUNTIF(Pacientes!$A$2:$A$46,C44)=0,"Código no registrado","OK")))</f>
        <v/>
      </c>
    </row>
    <row r="45" ht="15" customHeight="1" s="27">
      <c r="A45" s="39">
        <f>IF(B45="","",ROW()-2)</f>
        <v/>
      </c>
      <c r="B45" s="50" t="n">
        <v>46244</v>
      </c>
      <c r="C45" s="40" t="inlineStr">
        <is>
          <t>SIM-15</t>
        </is>
      </c>
      <c r="D45" s="40" t="inlineStr">
        <is>
          <t>Sí</t>
        </is>
      </c>
      <c r="E45" s="40" t="inlineStr">
        <is>
          <t>Asistió</t>
        </is>
      </c>
      <c r="F45" s="40" t="n"/>
      <c r="G45" s="40" t="inlineStr">
        <is>
          <t>No</t>
        </is>
      </c>
      <c r="H45" s="67">
        <f>IF(B45="","",IF(OR(C45="",E45=""),"Faltan datos",IF(COUNTIF(Pacientes!$A$2:$A$46,C45)=0,"Código no registrado","OK")))</f>
        <v/>
      </c>
    </row>
    <row r="46" ht="15" customHeight="1" s="27">
      <c r="A46" s="39">
        <f>IF(B46="","",ROW()-2)</f>
        <v/>
      </c>
      <c r="B46" s="50" t="n">
        <v>46244</v>
      </c>
      <c r="C46" s="40" t="inlineStr">
        <is>
          <t>SIM-27</t>
        </is>
      </c>
      <c r="D46" s="40" t="inlineStr">
        <is>
          <t>Sí</t>
        </is>
      </c>
      <c r="E46" s="40" t="inlineStr">
        <is>
          <t>Asistió</t>
        </is>
      </c>
      <c r="F46" s="40" t="n"/>
      <c r="G46" s="40" t="inlineStr">
        <is>
          <t>No</t>
        </is>
      </c>
      <c r="H46" s="67">
        <f>IF(B46="","",IF(OR(C46="",E46=""),"Faltan datos",IF(COUNTIF(Pacientes!$A$2:$A$46,C46)=0,"Código no registrado","OK")))</f>
        <v/>
      </c>
    </row>
    <row r="47" ht="15" customHeight="1" s="27">
      <c r="A47" s="39">
        <f>IF(B47="","",ROW()-2)</f>
        <v/>
      </c>
      <c r="B47" s="50" t="n">
        <v>46246</v>
      </c>
      <c r="C47" s="40" t="inlineStr">
        <is>
          <t>SIM-16</t>
        </is>
      </c>
      <c r="D47" s="40" t="inlineStr">
        <is>
          <t>Sí</t>
        </is>
      </c>
      <c r="E47" s="40" t="inlineStr">
        <is>
          <t>Asistió</t>
        </is>
      </c>
      <c r="F47" s="40" t="n"/>
      <c r="G47" s="40" t="inlineStr">
        <is>
          <t>Sí</t>
        </is>
      </c>
      <c r="H47" s="67">
        <f>IF(B47="","",IF(OR(C47="",E47=""),"Faltan datos",IF(COUNTIF(Pacientes!$A$2:$A$46,C47)=0,"Código no registrado","OK")))</f>
        <v/>
      </c>
    </row>
    <row r="48" ht="15" customHeight="1" s="27">
      <c r="A48" s="39">
        <f>IF(B48="","",ROW()-2)</f>
        <v/>
      </c>
      <c r="B48" s="50" t="n">
        <v>46246</v>
      </c>
      <c r="C48" s="40" t="inlineStr">
        <is>
          <t>SIM-23</t>
        </is>
      </c>
      <c r="D48" s="40" t="inlineStr">
        <is>
          <t>Sí</t>
        </is>
      </c>
      <c r="E48" s="40" t="inlineStr">
        <is>
          <t>No asistió</t>
        </is>
      </c>
      <c r="F48" s="40" t="inlineStr">
        <is>
          <t>Sin aviso</t>
        </is>
      </c>
      <c r="G48" s="40" t="inlineStr">
        <is>
          <t>No</t>
        </is>
      </c>
      <c r="H48" s="67">
        <f>IF(B48="","",IF(OR(C48="",E48=""),"Faltan datos",IF(COUNTIF(Pacientes!$A$2:$A$46,C48)=0,"Código no registrado","OK")))</f>
        <v/>
      </c>
    </row>
    <row r="49" ht="15" customHeight="1" s="27">
      <c r="A49" s="39">
        <f>IF(B49="","",ROW()-2)</f>
        <v/>
      </c>
      <c r="B49" s="50" t="n">
        <v>46246</v>
      </c>
      <c r="C49" s="40" t="inlineStr">
        <is>
          <t>SIM-25</t>
        </is>
      </c>
      <c r="D49" s="40" t="inlineStr">
        <is>
          <t>Sí</t>
        </is>
      </c>
      <c r="E49" s="40" t="inlineStr">
        <is>
          <t>No asistió</t>
        </is>
      </c>
      <c r="F49" s="40" t="inlineStr">
        <is>
          <t>Sin aviso</t>
        </is>
      </c>
      <c r="G49" s="40" t="inlineStr">
        <is>
          <t>No</t>
        </is>
      </c>
      <c r="H49" s="67">
        <f>IF(B49="","",IF(OR(C49="",E49=""),"Faltan datos",IF(COUNTIF(Pacientes!$A$2:$A$46,C49)=0,"Código no registrado","OK")))</f>
        <v/>
      </c>
    </row>
    <row r="50" ht="15" customHeight="1" s="27">
      <c r="A50" s="39">
        <f>IF(B50="","",ROW()-2)</f>
        <v/>
      </c>
      <c r="B50" s="50" t="n">
        <v>46246</v>
      </c>
      <c r="C50" s="40" t="inlineStr">
        <is>
          <t>SIM-12</t>
        </is>
      </c>
      <c r="D50" s="40" t="inlineStr">
        <is>
          <t>Sí</t>
        </is>
      </c>
      <c r="E50" s="40" t="inlineStr">
        <is>
          <t>No asistió</t>
        </is>
      </c>
      <c r="F50" s="40" t="inlineStr">
        <is>
          <t>Sin aviso</t>
        </is>
      </c>
      <c r="G50" s="40" t="inlineStr">
        <is>
          <t>No</t>
        </is>
      </c>
      <c r="H50" s="67">
        <f>IF(B50="","",IF(OR(C50="",E50=""),"Faltan datos",IF(COUNTIF(Pacientes!$A$2:$A$46,C50)=0,"Código no registrado","OK")))</f>
        <v/>
      </c>
    </row>
    <row r="51" ht="15" customHeight="1" s="27">
      <c r="A51" s="39">
        <f>IF(B51="","",ROW()-2)</f>
        <v/>
      </c>
      <c r="B51" s="50" t="n">
        <v>46246</v>
      </c>
      <c r="C51" s="40" t="inlineStr">
        <is>
          <t>SIM-10</t>
        </is>
      </c>
      <c r="D51" s="40" t="inlineStr">
        <is>
          <t>Sí</t>
        </is>
      </c>
      <c r="E51" s="40" t="inlineStr">
        <is>
          <t>Cancelada</t>
        </is>
      </c>
      <c r="F51" s="40" t="inlineStr">
        <is>
          <t>Aviso previo</t>
        </is>
      </c>
      <c r="G51" s="40" t="inlineStr">
        <is>
          <t>No</t>
        </is>
      </c>
      <c r="H51" s="67">
        <f>IF(B51="","",IF(OR(C51="",E51=""),"Faltan datos",IF(COUNTIF(Pacientes!$A$2:$A$46,C51)=0,"Código no registrado","OK")))</f>
        <v/>
      </c>
    </row>
    <row r="52" ht="15" customHeight="1" s="27">
      <c r="A52" s="39">
        <f>IF(B52="","",ROW()-2)</f>
        <v/>
      </c>
      <c r="B52" s="50" t="n">
        <v>46246</v>
      </c>
      <c r="C52" s="40" t="inlineStr">
        <is>
          <t>SIM-25</t>
        </is>
      </c>
      <c r="D52" s="40" t="inlineStr">
        <is>
          <t>Sí</t>
        </is>
      </c>
      <c r="E52" s="40" t="inlineStr">
        <is>
          <t>Asistió</t>
        </is>
      </c>
      <c r="F52" s="40" t="n"/>
      <c r="G52" s="40" t="inlineStr">
        <is>
          <t>No</t>
        </is>
      </c>
      <c r="H52" s="67">
        <f>IF(B52="","",IF(OR(C52="",E52=""),"Faltan datos",IF(COUNTIF(Pacientes!$A$2:$A$46,C52)=0,"Código no registrado","OK")))</f>
        <v/>
      </c>
    </row>
    <row r="53" ht="15" customHeight="1" s="27">
      <c r="A53" s="39">
        <f>IF(B53="","",ROW()-2)</f>
        <v/>
      </c>
      <c r="B53" s="50" t="n">
        <v>46246</v>
      </c>
      <c r="C53" s="40" t="inlineStr">
        <is>
          <t>SIM-27</t>
        </is>
      </c>
      <c r="D53" s="40" t="inlineStr">
        <is>
          <t>Sí</t>
        </is>
      </c>
      <c r="E53" s="40" t="inlineStr">
        <is>
          <t>No asistió</t>
        </is>
      </c>
      <c r="F53" s="40" t="inlineStr">
        <is>
          <t>Sin aviso</t>
        </is>
      </c>
      <c r="G53" s="40" t="inlineStr">
        <is>
          <t>No</t>
        </is>
      </c>
      <c r="H53" s="67">
        <f>IF(B53="","",IF(OR(C53="",E53=""),"Faltan datos",IF(COUNTIF(Pacientes!$A$2:$A$46,C53)=0,"Código no registrado","OK")))</f>
        <v/>
      </c>
    </row>
    <row r="54" ht="15" customHeight="1" s="27">
      <c r="A54" s="39">
        <f>IF(B54="","",ROW()-2)</f>
        <v/>
      </c>
      <c r="B54" s="50" t="n">
        <v>46246</v>
      </c>
      <c r="C54" s="40" t="inlineStr">
        <is>
          <t>SIM-26</t>
        </is>
      </c>
      <c r="D54" s="40" t="inlineStr">
        <is>
          <t>Sí</t>
        </is>
      </c>
      <c r="E54" s="40" t="inlineStr">
        <is>
          <t>Asistió</t>
        </is>
      </c>
      <c r="F54" s="40" t="n"/>
      <c r="G54" s="40" t="inlineStr">
        <is>
          <t>No</t>
        </is>
      </c>
      <c r="H54" s="67">
        <f>IF(B54="","",IF(OR(C54="",E54=""),"Faltan datos",IF(COUNTIF(Pacientes!$A$2:$A$46,C54)=0,"Código no registrado","OK")))</f>
        <v/>
      </c>
    </row>
    <row r="55" ht="15" customHeight="1" s="27">
      <c r="A55" s="39">
        <f>IF(B55="","",ROW()-2)</f>
        <v/>
      </c>
      <c r="B55" s="50" t="n">
        <v>46246</v>
      </c>
      <c r="C55" s="40" t="inlineStr">
        <is>
          <t>SIM-25</t>
        </is>
      </c>
      <c r="D55" s="40" t="inlineStr">
        <is>
          <t>Sí</t>
        </is>
      </c>
      <c r="E55" s="40" t="inlineStr">
        <is>
          <t>Reprogramada</t>
        </is>
      </c>
      <c r="F55" s="40" t="inlineStr">
        <is>
          <t>Aviso previo</t>
        </is>
      </c>
      <c r="G55" s="40" t="inlineStr">
        <is>
          <t>No</t>
        </is>
      </c>
      <c r="H55" s="67">
        <f>IF(B55="","",IF(OR(C55="",E55=""),"Faltan datos",IF(COUNTIF(Pacientes!$A$2:$A$46,C55)=0,"Código no registrado","OK")))</f>
        <v/>
      </c>
    </row>
    <row r="56" ht="15" customHeight="1" s="27">
      <c r="A56" s="39">
        <f>IF(B56="","",ROW()-2)</f>
        <v/>
      </c>
      <c r="B56" s="50" t="n">
        <v>46246</v>
      </c>
      <c r="C56" s="40" t="inlineStr">
        <is>
          <t>SIM-14</t>
        </is>
      </c>
      <c r="D56" s="40" t="inlineStr">
        <is>
          <t>Sí</t>
        </is>
      </c>
      <c r="E56" s="40" t="inlineStr">
        <is>
          <t>Cancelada</t>
        </is>
      </c>
      <c r="F56" s="40" t="inlineStr">
        <is>
          <t>Aviso previo</t>
        </is>
      </c>
      <c r="G56" s="40" t="inlineStr">
        <is>
          <t>No</t>
        </is>
      </c>
      <c r="H56" s="67">
        <f>IF(B56="","",IF(OR(C56="",E56=""),"Faltan datos",IF(COUNTIF(Pacientes!$A$2:$A$46,C56)=0,"Código no registrado","OK")))</f>
        <v/>
      </c>
    </row>
    <row r="57" ht="15" customHeight="1" s="27">
      <c r="A57" s="39">
        <f>IF(B57="","",ROW()-2)</f>
        <v/>
      </c>
      <c r="B57" s="50" t="n">
        <v>46246</v>
      </c>
      <c r="C57" s="40" t="inlineStr">
        <is>
          <t>SIM-28</t>
        </is>
      </c>
      <c r="D57" s="40" t="inlineStr">
        <is>
          <t>Sí</t>
        </is>
      </c>
      <c r="E57" s="40" t="inlineStr">
        <is>
          <t>No asistió</t>
        </is>
      </c>
      <c r="F57" s="40" t="inlineStr">
        <is>
          <t>Sin aviso</t>
        </is>
      </c>
      <c r="G57" s="40" t="inlineStr">
        <is>
          <t>No</t>
        </is>
      </c>
      <c r="H57" s="67">
        <f>IF(B57="","",IF(OR(C57="",E57=""),"Faltan datos",IF(COUNTIF(Pacientes!$A$2:$A$46,C57)=0,"Código no registrado","OK")))</f>
        <v/>
      </c>
    </row>
    <row r="58" ht="15" customHeight="1" s="27">
      <c r="A58" s="39">
        <f>IF(B58="","",ROW()-2)</f>
        <v/>
      </c>
      <c r="B58" s="50" t="n">
        <v>46248</v>
      </c>
      <c r="C58" s="40" t="inlineStr">
        <is>
          <t>SIM-16</t>
        </is>
      </c>
      <c r="D58" s="40" t="inlineStr">
        <is>
          <t>Sí</t>
        </is>
      </c>
      <c r="E58" s="40" t="inlineStr">
        <is>
          <t>Asistió</t>
        </is>
      </c>
      <c r="F58" s="40" t="n"/>
      <c r="G58" s="40" t="inlineStr">
        <is>
          <t>No</t>
        </is>
      </c>
      <c r="H58" s="67">
        <f>IF(B58="","",IF(OR(C58="",E58=""),"Faltan datos",IF(COUNTIF(Pacientes!$A$2:$A$46,C58)=0,"Código no registrado","OK")))</f>
        <v/>
      </c>
    </row>
    <row r="59" ht="15" customHeight="1" s="27">
      <c r="A59" s="39">
        <f>IF(B59="","",ROW()-2)</f>
        <v/>
      </c>
      <c r="B59" s="50" t="n">
        <v>46248</v>
      </c>
      <c r="C59" s="40" t="inlineStr">
        <is>
          <t>SIM-19</t>
        </is>
      </c>
      <c r="D59" s="40" t="inlineStr">
        <is>
          <t>Sí</t>
        </is>
      </c>
      <c r="E59" s="40" t="inlineStr">
        <is>
          <t>Asistió</t>
        </is>
      </c>
      <c r="F59" s="40" t="n"/>
      <c r="G59" s="40" t="inlineStr">
        <is>
          <t>No</t>
        </is>
      </c>
      <c r="H59" s="67">
        <f>IF(B59="","",IF(OR(C59="",E59=""),"Faltan datos",IF(COUNTIF(Pacientes!$A$2:$A$46,C59)=0,"Código no registrado","OK")))</f>
        <v/>
      </c>
    </row>
    <row r="60" ht="15" customHeight="1" s="27">
      <c r="A60" s="39">
        <f>IF(B60="","",ROW()-2)</f>
        <v/>
      </c>
      <c r="B60" s="50" t="n">
        <v>46248</v>
      </c>
      <c r="C60" s="40" t="inlineStr">
        <is>
          <t>SIM-24</t>
        </is>
      </c>
      <c r="D60" s="40" t="inlineStr">
        <is>
          <t>Sí</t>
        </is>
      </c>
      <c r="E60" s="40" t="inlineStr">
        <is>
          <t>No asistió</t>
        </is>
      </c>
      <c r="F60" s="40" t="inlineStr">
        <is>
          <t>Sin aviso</t>
        </is>
      </c>
      <c r="G60" s="40" t="inlineStr">
        <is>
          <t>Sí</t>
        </is>
      </c>
      <c r="H60" s="67">
        <f>IF(B60="","",IF(OR(C60="",E60=""),"Faltan datos",IF(COUNTIF(Pacientes!$A$2:$A$46,C60)=0,"Código no registrado","OK")))</f>
        <v/>
      </c>
    </row>
    <row r="61" ht="15" customHeight="1" s="27">
      <c r="A61" s="39">
        <f>IF(B61="","",ROW()-2)</f>
        <v/>
      </c>
      <c r="B61" s="50" t="n">
        <v>46248</v>
      </c>
      <c r="C61" s="40" t="inlineStr">
        <is>
          <t>SIM-15</t>
        </is>
      </c>
      <c r="D61" s="40" t="inlineStr">
        <is>
          <t>Sí</t>
        </is>
      </c>
      <c r="E61" s="40" t="inlineStr">
        <is>
          <t>Asistió</t>
        </is>
      </c>
      <c r="F61" s="40" t="n"/>
      <c r="G61" s="40" t="inlineStr">
        <is>
          <t>No</t>
        </is>
      </c>
      <c r="H61" s="67">
        <f>IF(B61="","",IF(OR(C61="",E61=""),"Faltan datos",IF(COUNTIF(Pacientes!$A$2:$A$46,C61)=0,"Código no registrado","OK")))</f>
        <v/>
      </c>
    </row>
    <row r="62" ht="15" customHeight="1" s="27">
      <c r="A62" s="39">
        <f>IF(B62="","",ROW()-2)</f>
        <v/>
      </c>
      <c r="B62" s="50" t="n">
        <v>46248</v>
      </c>
      <c r="C62" s="40" t="inlineStr">
        <is>
          <t>SIM-01</t>
        </is>
      </c>
      <c r="D62" s="40" t="inlineStr">
        <is>
          <t>Sí</t>
        </is>
      </c>
      <c r="E62" s="40" t="inlineStr">
        <is>
          <t>Asistió</t>
        </is>
      </c>
      <c r="F62" s="40" t="n"/>
      <c r="G62" s="40" t="inlineStr">
        <is>
          <t>No</t>
        </is>
      </c>
      <c r="H62" s="67">
        <f>IF(B62="","",IF(OR(C62="",E62=""),"Faltan datos",IF(COUNTIF(Pacientes!$A$2:$A$46,C62)=0,"Código no registrado","OK")))</f>
        <v/>
      </c>
    </row>
    <row r="63" ht="15" customHeight="1" s="27">
      <c r="A63" s="39">
        <f>IF(B63="","",ROW()-2)</f>
        <v/>
      </c>
      <c r="B63" s="50" t="n">
        <v>46248</v>
      </c>
      <c r="C63" s="40" t="inlineStr">
        <is>
          <t>SIM-10</t>
        </is>
      </c>
      <c r="D63" s="40" t="inlineStr">
        <is>
          <t>Sí</t>
        </is>
      </c>
      <c r="E63" s="40" t="inlineStr">
        <is>
          <t>Asistió</t>
        </is>
      </c>
      <c r="F63" s="40" t="n"/>
      <c r="G63" s="40" t="inlineStr">
        <is>
          <t>No</t>
        </is>
      </c>
      <c r="H63" s="67">
        <f>IF(B63="","",IF(OR(C63="",E63=""),"Faltan datos",IF(COUNTIF(Pacientes!$A$2:$A$46,C63)=0,"Código no registrado","OK")))</f>
        <v/>
      </c>
    </row>
    <row r="64" ht="15" customHeight="1" s="27">
      <c r="A64" s="39">
        <f>IF(B64="","",ROW()-2)</f>
        <v/>
      </c>
      <c r="B64" s="50" t="n">
        <v>46248</v>
      </c>
      <c r="C64" s="40" t="inlineStr">
        <is>
          <t>SIM-16</t>
        </is>
      </c>
      <c r="D64" s="40" t="inlineStr">
        <is>
          <t>Sí</t>
        </is>
      </c>
      <c r="E64" s="40" t="inlineStr">
        <is>
          <t>Asistió</t>
        </is>
      </c>
      <c r="F64" s="40" t="n"/>
      <c r="G64" s="40" t="inlineStr">
        <is>
          <t>No</t>
        </is>
      </c>
      <c r="H64" s="67">
        <f>IF(B64="","",IF(OR(C64="",E64=""),"Faltan datos",IF(COUNTIF(Pacientes!$A$2:$A$46,C64)=0,"Código no registrado","OK")))</f>
        <v/>
      </c>
    </row>
    <row r="65" ht="15" customHeight="1" s="27">
      <c r="A65" s="39">
        <f>IF(B65="","",ROW()-2)</f>
        <v/>
      </c>
      <c r="B65" s="50" t="n">
        <v>46248</v>
      </c>
      <c r="C65" s="40" t="inlineStr">
        <is>
          <t>SIM-12</t>
        </is>
      </c>
      <c r="D65" s="40" t="inlineStr">
        <is>
          <t>Sí</t>
        </is>
      </c>
      <c r="E65" s="40" t="inlineStr">
        <is>
          <t>No asistió</t>
        </is>
      </c>
      <c r="F65" s="40" t="inlineStr">
        <is>
          <t>Sin aviso</t>
        </is>
      </c>
      <c r="G65" s="40" t="inlineStr">
        <is>
          <t>No</t>
        </is>
      </c>
      <c r="H65" s="67">
        <f>IF(B65="","",IF(OR(C65="",E65=""),"Faltan datos",IF(COUNTIF(Pacientes!$A$2:$A$46,C65)=0,"Código no registrado","OK")))</f>
        <v/>
      </c>
    </row>
    <row r="66" ht="15" customHeight="1" s="27">
      <c r="A66" s="39">
        <f>IF(B66="","",ROW()-2)</f>
        <v/>
      </c>
      <c r="B66" s="50" t="n">
        <v>46248</v>
      </c>
      <c r="C66" s="40" t="inlineStr">
        <is>
          <t>SIM-29</t>
        </is>
      </c>
      <c r="D66" s="40" t="inlineStr">
        <is>
          <t>Sí</t>
        </is>
      </c>
      <c r="E66" s="40" t="inlineStr">
        <is>
          <t>No asistió</t>
        </is>
      </c>
      <c r="F66" s="40" t="inlineStr">
        <is>
          <t>Sin aviso</t>
        </is>
      </c>
      <c r="G66" s="40" t="inlineStr">
        <is>
          <t>Sí</t>
        </is>
      </c>
      <c r="H66" s="67">
        <f>IF(B66="","",IF(OR(C66="",E66=""),"Faltan datos",IF(COUNTIF(Pacientes!$A$2:$A$46,C66)=0,"Código no registrado","OK")))</f>
        <v/>
      </c>
    </row>
    <row r="67" ht="15" customHeight="1" s="27">
      <c r="A67" s="39">
        <f>IF(B67="","",ROW()-2)</f>
        <v/>
      </c>
      <c r="B67" s="50" t="n">
        <v>46248</v>
      </c>
      <c r="C67" s="40" t="inlineStr">
        <is>
          <t>SIM-14</t>
        </is>
      </c>
      <c r="D67" s="40" t="inlineStr">
        <is>
          <t>Sí</t>
        </is>
      </c>
      <c r="E67" s="40" t="inlineStr">
        <is>
          <t>Reprogramada</t>
        </is>
      </c>
      <c r="F67" s="40" t="inlineStr">
        <is>
          <t>Aviso previo</t>
        </is>
      </c>
      <c r="G67" s="40" t="inlineStr">
        <is>
          <t>No</t>
        </is>
      </c>
      <c r="H67" s="67">
        <f>IF(B67="","",IF(OR(C67="",E67=""),"Faltan datos",IF(COUNTIF(Pacientes!$A$2:$A$46,C67)=0,"Código no registrado","OK")))</f>
        <v/>
      </c>
    </row>
    <row r="68" ht="15" customHeight="1" s="27">
      <c r="A68" s="39">
        <f>IF(B68="","",ROW()-2)</f>
        <v/>
      </c>
      <c r="B68" s="50" t="n">
        <v>46248</v>
      </c>
      <c r="C68" s="40" t="inlineStr">
        <is>
          <t>SIM-07</t>
        </is>
      </c>
      <c r="D68" s="40" t="inlineStr">
        <is>
          <t>Sí</t>
        </is>
      </c>
      <c r="E68" s="40" t="inlineStr">
        <is>
          <t>Asistió</t>
        </is>
      </c>
      <c r="F68" s="40" t="n"/>
      <c r="G68" s="40" t="inlineStr">
        <is>
          <t>No</t>
        </is>
      </c>
      <c r="H68" s="67">
        <f>IF(B68="","",IF(OR(C68="",E68=""),"Faltan datos",IF(COUNTIF(Pacientes!$A$2:$A$46,C68)=0,"Código no registrado","OK")))</f>
        <v/>
      </c>
    </row>
    <row r="69" ht="15" customHeight="1" s="27">
      <c r="A69" s="39">
        <f>IF(B69="","",ROW()-2)</f>
        <v/>
      </c>
      <c r="B69" s="50" t="n">
        <v>46251</v>
      </c>
      <c r="C69" s="40" t="inlineStr">
        <is>
          <t>SIM-15</t>
        </is>
      </c>
      <c r="D69" s="40" t="inlineStr">
        <is>
          <t>Sí</t>
        </is>
      </c>
      <c r="E69" s="40" t="inlineStr">
        <is>
          <t>Reprogramada</t>
        </is>
      </c>
      <c r="F69" s="40" t="inlineStr">
        <is>
          <t>Aviso previo</t>
        </is>
      </c>
      <c r="G69" s="40" t="inlineStr">
        <is>
          <t>No</t>
        </is>
      </c>
      <c r="H69" s="67">
        <f>IF(B69="","",IF(OR(C69="",E69=""),"Faltan datos",IF(COUNTIF(Pacientes!$A$2:$A$46,C69)=0,"Código no registrado","OK")))</f>
        <v/>
      </c>
    </row>
    <row r="70" ht="15" customHeight="1" s="27">
      <c r="A70" s="39">
        <f>IF(B70="","",ROW()-2)</f>
        <v/>
      </c>
      <c r="B70" s="50" t="n">
        <v>46251</v>
      </c>
      <c r="C70" s="40" t="inlineStr">
        <is>
          <t>SIM-07</t>
        </is>
      </c>
      <c r="D70" s="40" t="inlineStr">
        <is>
          <t>Sí</t>
        </is>
      </c>
      <c r="E70" s="40" t="inlineStr">
        <is>
          <t>Cancelada</t>
        </is>
      </c>
      <c r="F70" s="40" t="inlineStr">
        <is>
          <t>Aviso previo</t>
        </is>
      </c>
      <c r="G70" s="40" t="inlineStr">
        <is>
          <t>No</t>
        </is>
      </c>
      <c r="H70" s="67">
        <f>IF(B70="","",IF(OR(C70="",E70=""),"Faltan datos",IF(COUNTIF(Pacientes!$A$2:$A$46,C70)=0,"Código no registrado","OK")))</f>
        <v/>
      </c>
    </row>
    <row r="71" ht="15" customHeight="1" s="27">
      <c r="A71" s="39">
        <f>IF(B71="","",ROW()-2)</f>
        <v/>
      </c>
      <c r="B71" s="50" t="n">
        <v>46251</v>
      </c>
      <c r="C71" s="40" t="inlineStr">
        <is>
          <t>SIM-11</t>
        </is>
      </c>
      <c r="D71" s="40" t="inlineStr">
        <is>
          <t>Sí</t>
        </is>
      </c>
      <c r="E71" s="40" t="inlineStr">
        <is>
          <t>No asistió</t>
        </is>
      </c>
      <c r="F71" s="40" t="inlineStr">
        <is>
          <t>Sin aviso</t>
        </is>
      </c>
      <c r="G71" s="40" t="inlineStr">
        <is>
          <t>Sí</t>
        </is>
      </c>
      <c r="H71" s="67">
        <f>IF(B71="","",IF(OR(C71="",E71=""),"Faltan datos",IF(COUNTIF(Pacientes!$A$2:$A$46,C71)=0,"Código no registrado","OK")))</f>
        <v/>
      </c>
    </row>
    <row r="72" ht="15" customHeight="1" s="27">
      <c r="A72" s="39">
        <f>IF(B72="","",ROW()-2)</f>
        <v/>
      </c>
      <c r="B72" s="50" t="n">
        <v>46251</v>
      </c>
      <c r="C72" s="40" t="inlineStr">
        <is>
          <t>SIM-29</t>
        </is>
      </c>
      <c r="D72" s="40" t="inlineStr">
        <is>
          <t>Sí</t>
        </is>
      </c>
      <c r="E72" s="40" t="inlineStr">
        <is>
          <t>Asistió</t>
        </is>
      </c>
      <c r="F72" s="40" t="n"/>
      <c r="G72" s="40" t="inlineStr">
        <is>
          <t>Sí</t>
        </is>
      </c>
      <c r="H72" s="67">
        <f>IF(B72="","",IF(OR(C72="",E72=""),"Faltan datos",IF(COUNTIF(Pacientes!$A$2:$A$46,C72)=0,"Código no registrado","OK")))</f>
        <v/>
      </c>
    </row>
    <row r="73" ht="15" customHeight="1" s="27">
      <c r="A73" s="39">
        <f>IF(B73="","",ROW()-2)</f>
        <v/>
      </c>
      <c r="B73" s="50" t="n">
        <v>46251</v>
      </c>
      <c r="C73" s="40" t="inlineStr">
        <is>
          <t>SIM-15</t>
        </is>
      </c>
      <c r="D73" s="40" t="inlineStr">
        <is>
          <t>Sí</t>
        </is>
      </c>
      <c r="E73" s="40" t="inlineStr">
        <is>
          <t>Asistió</t>
        </is>
      </c>
      <c r="F73" s="40" t="n"/>
      <c r="G73" s="40" t="inlineStr">
        <is>
          <t>No</t>
        </is>
      </c>
      <c r="H73" s="67">
        <f>IF(B73="","",IF(OR(C73="",E73=""),"Faltan datos",IF(COUNTIF(Pacientes!$A$2:$A$46,C73)=0,"Código no registrado","OK")))</f>
        <v/>
      </c>
    </row>
    <row r="74" ht="15" customHeight="1" s="27">
      <c r="A74" s="39">
        <f>IF(B74="","",ROW()-2)</f>
        <v/>
      </c>
      <c r="B74" s="50" t="n">
        <v>46251</v>
      </c>
      <c r="C74" s="40" t="inlineStr">
        <is>
          <t>SIM-08</t>
        </is>
      </c>
      <c r="D74" s="40" t="inlineStr">
        <is>
          <t>Sí</t>
        </is>
      </c>
      <c r="E74" s="40" t="inlineStr">
        <is>
          <t>Asistió</t>
        </is>
      </c>
      <c r="F74" s="40" t="n"/>
      <c r="G74" s="40" t="inlineStr">
        <is>
          <t>No</t>
        </is>
      </c>
      <c r="H74" s="67">
        <f>IF(B74="","",IF(OR(C74="",E74=""),"Faltan datos",IF(COUNTIF(Pacientes!$A$2:$A$46,C74)=0,"Código no registrado","OK")))</f>
        <v/>
      </c>
    </row>
    <row r="75" ht="15" customHeight="1" s="27">
      <c r="A75" s="39">
        <f>IF(B75="","",ROW()-2)</f>
        <v/>
      </c>
      <c r="B75" s="50" t="n">
        <v>46251</v>
      </c>
      <c r="C75" s="40" t="inlineStr">
        <is>
          <t>SIM-28</t>
        </is>
      </c>
      <c r="D75" s="40" t="inlineStr">
        <is>
          <t>Sí</t>
        </is>
      </c>
      <c r="E75" s="40" t="inlineStr">
        <is>
          <t>Asistió</t>
        </is>
      </c>
      <c r="F75" s="40" t="n"/>
      <c r="G75" s="40" t="inlineStr">
        <is>
          <t>No</t>
        </is>
      </c>
      <c r="H75" s="67">
        <f>IF(B75="","",IF(OR(C75="",E75=""),"Faltan datos",IF(COUNTIF(Pacientes!$A$2:$A$46,C75)=0,"Código no registrado","OK")))</f>
        <v/>
      </c>
    </row>
    <row r="76" ht="15" customHeight="1" s="27">
      <c r="A76" s="39">
        <f>IF(B76="","",ROW()-2)</f>
        <v/>
      </c>
      <c r="B76" s="50" t="n">
        <v>46251</v>
      </c>
      <c r="C76" s="40" t="inlineStr">
        <is>
          <t>SIM-09</t>
        </is>
      </c>
      <c r="D76" s="40" t="inlineStr">
        <is>
          <t>Sí</t>
        </is>
      </c>
      <c r="E76" s="40" t="inlineStr">
        <is>
          <t>Asistió</t>
        </is>
      </c>
      <c r="F76" s="40" t="n"/>
      <c r="G76" s="40" t="inlineStr">
        <is>
          <t>No</t>
        </is>
      </c>
      <c r="H76" s="67">
        <f>IF(B76="","",IF(OR(C76="",E76=""),"Faltan datos",IF(COUNTIF(Pacientes!$A$2:$A$46,C76)=0,"Código no registrado","OK")))</f>
        <v/>
      </c>
    </row>
    <row r="77" ht="15" customHeight="1" s="27">
      <c r="A77" s="39">
        <f>IF(B77="","",ROW()-2)</f>
        <v/>
      </c>
      <c r="B77" s="50" t="n">
        <v>46251</v>
      </c>
      <c r="C77" s="40" t="inlineStr">
        <is>
          <t>SIM-18</t>
        </is>
      </c>
      <c r="D77" s="40" t="inlineStr">
        <is>
          <t>Sí</t>
        </is>
      </c>
      <c r="E77" s="40" t="inlineStr">
        <is>
          <t>No asistió</t>
        </is>
      </c>
      <c r="F77" s="40" t="inlineStr">
        <is>
          <t>Sin aviso</t>
        </is>
      </c>
      <c r="G77" s="40" t="inlineStr">
        <is>
          <t>No</t>
        </is>
      </c>
      <c r="H77" s="67">
        <f>IF(B77="","",IF(OR(C77="",E77=""),"Faltan datos",IF(COUNTIF(Pacientes!$A$2:$A$46,C77)=0,"Código no registrado","OK")))</f>
        <v/>
      </c>
    </row>
    <row r="78" ht="15" customHeight="1" s="27">
      <c r="A78" s="39">
        <f>IF(B78="","",ROW()-2)</f>
        <v/>
      </c>
      <c r="B78" s="50" t="n">
        <v>46253</v>
      </c>
      <c r="C78" s="40" t="inlineStr">
        <is>
          <t>SIM-09</t>
        </is>
      </c>
      <c r="D78" s="40" t="inlineStr">
        <is>
          <t>Sí</t>
        </is>
      </c>
      <c r="E78" s="40" t="inlineStr">
        <is>
          <t>No asistió</t>
        </is>
      </c>
      <c r="F78" s="40" t="inlineStr">
        <is>
          <t>Sin aviso</t>
        </is>
      </c>
      <c r="G78" s="40" t="inlineStr">
        <is>
          <t>No</t>
        </is>
      </c>
      <c r="H78" s="67">
        <f>IF(B78="","",IF(OR(C78="",E78=""),"Faltan datos",IF(COUNTIF(Pacientes!$A$2:$A$46,C78)=0,"Código no registrado","OK")))</f>
        <v/>
      </c>
    </row>
    <row r="79" ht="15" customHeight="1" s="27">
      <c r="A79" s="39">
        <f>IF(B79="","",ROW()-2)</f>
        <v/>
      </c>
      <c r="B79" s="50" t="n">
        <v>46253</v>
      </c>
      <c r="C79" s="40" t="inlineStr">
        <is>
          <t>SIM-27</t>
        </is>
      </c>
      <c r="D79" s="40" t="inlineStr">
        <is>
          <t>Sí</t>
        </is>
      </c>
      <c r="E79" s="40" t="inlineStr">
        <is>
          <t>No asistió</t>
        </is>
      </c>
      <c r="F79" s="40" t="inlineStr">
        <is>
          <t>Sin aviso</t>
        </is>
      </c>
      <c r="G79" s="40" t="inlineStr">
        <is>
          <t>No</t>
        </is>
      </c>
      <c r="H79" s="67">
        <f>IF(B79="","",IF(OR(C79="",E79=""),"Faltan datos",IF(COUNTIF(Pacientes!$A$2:$A$46,C79)=0,"Código no registrado","OK")))</f>
        <v/>
      </c>
    </row>
    <row r="80" ht="15" customHeight="1" s="27">
      <c r="A80" s="39">
        <f>IF(B80="","",ROW()-2)</f>
        <v/>
      </c>
      <c r="B80" s="50" t="n">
        <v>46253</v>
      </c>
      <c r="C80" s="40" t="inlineStr">
        <is>
          <t>SIM-07</t>
        </is>
      </c>
      <c r="D80" s="40" t="inlineStr">
        <is>
          <t>Sí</t>
        </is>
      </c>
      <c r="E80" s="40" t="inlineStr">
        <is>
          <t>Asistió</t>
        </is>
      </c>
      <c r="F80" s="40" t="n"/>
      <c r="G80" s="40" t="inlineStr">
        <is>
          <t>Sí</t>
        </is>
      </c>
      <c r="H80" s="67">
        <f>IF(B80="","",IF(OR(C80="",E80=""),"Faltan datos",IF(COUNTIF(Pacientes!$A$2:$A$46,C80)=0,"Código no registrado","OK")))</f>
        <v/>
      </c>
    </row>
    <row r="81" ht="15" customHeight="1" s="27">
      <c r="A81" s="39">
        <f>IF(B81="","",ROW()-2)</f>
        <v/>
      </c>
      <c r="B81" s="50" t="n">
        <v>46253</v>
      </c>
      <c r="C81" s="40" t="inlineStr">
        <is>
          <t>SIM-11</t>
        </is>
      </c>
      <c r="D81" s="40" t="inlineStr">
        <is>
          <t>Sí</t>
        </is>
      </c>
      <c r="E81" s="40" t="inlineStr">
        <is>
          <t>Asistió</t>
        </is>
      </c>
      <c r="F81" s="40" t="n"/>
      <c r="G81" s="40" t="inlineStr">
        <is>
          <t>No</t>
        </is>
      </c>
      <c r="H81" s="67">
        <f>IF(B81="","",IF(OR(C81="",E81=""),"Faltan datos",IF(COUNTIF(Pacientes!$A$2:$A$46,C81)=0,"Código no registrado","OK")))</f>
        <v/>
      </c>
    </row>
    <row r="82" ht="15" customHeight="1" s="27">
      <c r="A82" s="39">
        <f>IF(B82="","",ROW()-2)</f>
        <v/>
      </c>
      <c r="B82" s="50" t="n">
        <v>46253</v>
      </c>
      <c r="C82" s="40" t="inlineStr">
        <is>
          <t>SIM-20</t>
        </is>
      </c>
      <c r="D82" s="40" t="inlineStr">
        <is>
          <t>Sí</t>
        </is>
      </c>
      <c r="E82" s="40" t="inlineStr">
        <is>
          <t>No asistió</t>
        </is>
      </c>
      <c r="F82" s="40" t="inlineStr">
        <is>
          <t>Sin aviso</t>
        </is>
      </c>
      <c r="G82" s="40" t="inlineStr">
        <is>
          <t>Sí</t>
        </is>
      </c>
      <c r="H82" s="67">
        <f>IF(B82="","",IF(OR(C82="",E82=""),"Faltan datos",IF(COUNTIF(Pacientes!$A$2:$A$46,C82)=0,"Código no registrado","OK")))</f>
        <v/>
      </c>
    </row>
    <row r="83" ht="15" customHeight="1" s="27">
      <c r="A83" s="39">
        <f>IF(B83="","",ROW()-2)</f>
        <v/>
      </c>
      <c r="B83" s="50" t="n">
        <v>46253</v>
      </c>
      <c r="C83" s="40" t="inlineStr">
        <is>
          <t>SIM-26</t>
        </is>
      </c>
      <c r="D83" s="40" t="inlineStr">
        <is>
          <t>Sí</t>
        </is>
      </c>
      <c r="E83" s="40" t="inlineStr">
        <is>
          <t>No asistió</t>
        </is>
      </c>
      <c r="F83" s="40" t="inlineStr">
        <is>
          <t>Sin aviso</t>
        </is>
      </c>
      <c r="G83" s="40" t="inlineStr">
        <is>
          <t>No</t>
        </is>
      </c>
      <c r="H83" s="67">
        <f>IF(B83="","",IF(OR(C83="",E83=""),"Faltan datos",IF(COUNTIF(Pacientes!$A$2:$A$46,C83)=0,"Código no registrado","OK")))</f>
        <v/>
      </c>
    </row>
    <row r="84" ht="15" customHeight="1" s="27">
      <c r="A84" s="39">
        <f>IF(B84="","",ROW()-2)</f>
        <v/>
      </c>
      <c r="B84" s="50" t="n">
        <v>46253</v>
      </c>
      <c r="C84" s="40" t="inlineStr">
        <is>
          <t>SIM-07</t>
        </is>
      </c>
      <c r="D84" s="40" t="inlineStr">
        <is>
          <t>Sí</t>
        </is>
      </c>
      <c r="E84" s="40" t="inlineStr">
        <is>
          <t>Cancelada</t>
        </is>
      </c>
      <c r="F84" s="40" t="inlineStr">
        <is>
          <t>Aviso previo</t>
        </is>
      </c>
      <c r="G84" s="40" t="inlineStr">
        <is>
          <t>No</t>
        </is>
      </c>
      <c r="H84" s="67">
        <f>IF(B84="","",IF(OR(C84="",E84=""),"Faltan datos",IF(COUNTIF(Pacientes!$A$2:$A$46,C84)=0,"Código no registrado","OK")))</f>
        <v/>
      </c>
    </row>
    <row r="85" ht="15" customHeight="1" s="27">
      <c r="A85" s="39">
        <f>IF(B85="","",ROW()-2)</f>
        <v/>
      </c>
      <c r="B85" s="50" t="n">
        <v>46253</v>
      </c>
      <c r="C85" s="40" t="inlineStr">
        <is>
          <t>SIM-12</t>
        </is>
      </c>
      <c r="D85" s="40" t="inlineStr">
        <is>
          <t>Sí</t>
        </is>
      </c>
      <c r="E85" s="40" t="inlineStr">
        <is>
          <t>Asistió</t>
        </is>
      </c>
      <c r="F85" s="40" t="n"/>
      <c r="G85" s="40" t="inlineStr">
        <is>
          <t>No</t>
        </is>
      </c>
      <c r="H85" s="67">
        <f>IF(B85="","",IF(OR(C85="",E85=""),"Faltan datos",IF(COUNTIF(Pacientes!$A$2:$A$46,C85)=0,"Código no registrado","OK")))</f>
        <v/>
      </c>
    </row>
    <row r="86" ht="15" customHeight="1" s="27">
      <c r="A86" s="39">
        <f>IF(B86="","",ROW()-2)</f>
        <v/>
      </c>
      <c r="B86" s="50" t="n">
        <v>46255</v>
      </c>
      <c r="C86" s="40" t="inlineStr">
        <is>
          <t>SIM-29</t>
        </is>
      </c>
      <c r="D86" s="40" t="inlineStr">
        <is>
          <t>Sí</t>
        </is>
      </c>
      <c r="E86" s="40" t="inlineStr">
        <is>
          <t>Asistió</t>
        </is>
      </c>
      <c r="F86" s="40" t="n"/>
      <c r="G86" s="40" t="inlineStr">
        <is>
          <t>No</t>
        </is>
      </c>
      <c r="H86" s="67">
        <f>IF(B86="","",IF(OR(C86="",E86=""),"Faltan datos",IF(COUNTIF(Pacientes!$A$2:$A$46,C86)=0,"Código no registrado","OK")))</f>
        <v/>
      </c>
    </row>
    <row r="87" ht="15" customHeight="1" s="27">
      <c r="A87" s="39">
        <f>IF(B87="","",ROW()-2)</f>
        <v/>
      </c>
      <c r="B87" s="50" t="n">
        <v>46255</v>
      </c>
      <c r="C87" s="40" t="inlineStr">
        <is>
          <t>SIM-03</t>
        </is>
      </c>
      <c r="D87" s="40" t="inlineStr">
        <is>
          <t>Sí</t>
        </is>
      </c>
      <c r="E87" s="40" t="inlineStr">
        <is>
          <t>Asistió</t>
        </is>
      </c>
      <c r="F87" s="40" t="n"/>
      <c r="G87" s="40" t="inlineStr">
        <is>
          <t>No</t>
        </is>
      </c>
      <c r="H87" s="67">
        <f>IF(B87="","",IF(OR(C87="",E87=""),"Faltan datos",IF(COUNTIF(Pacientes!$A$2:$A$46,C87)=0,"Código no registrado","OK")))</f>
        <v/>
      </c>
    </row>
    <row r="88" ht="15" customHeight="1" s="27">
      <c r="A88" s="39">
        <f>IF(B88="","",ROW()-2)</f>
        <v/>
      </c>
      <c r="B88" s="50" t="n">
        <v>46255</v>
      </c>
      <c r="C88" s="40" t="inlineStr">
        <is>
          <t>SIM-09</t>
        </is>
      </c>
      <c r="D88" s="40" t="inlineStr">
        <is>
          <t>Sí</t>
        </is>
      </c>
      <c r="E88" s="40" t="inlineStr">
        <is>
          <t>No asistió</t>
        </is>
      </c>
      <c r="F88" s="40" t="inlineStr">
        <is>
          <t>Sin aviso</t>
        </is>
      </c>
      <c r="G88" s="40" t="inlineStr">
        <is>
          <t>No</t>
        </is>
      </c>
      <c r="H88" s="67">
        <f>IF(B88="","",IF(OR(C88="",E88=""),"Faltan datos",IF(COUNTIF(Pacientes!$A$2:$A$46,C88)=0,"Código no registrado","OK")))</f>
        <v/>
      </c>
    </row>
    <row r="89" ht="15" customHeight="1" s="27">
      <c r="A89" s="39">
        <f>IF(B89="","",ROW()-2)</f>
        <v/>
      </c>
      <c r="B89" s="50" t="n">
        <v>46255</v>
      </c>
      <c r="C89" s="40" t="inlineStr">
        <is>
          <t>SIM-25</t>
        </is>
      </c>
      <c r="D89" s="40" t="inlineStr">
        <is>
          <t>Sí</t>
        </is>
      </c>
      <c r="E89" s="40" t="inlineStr">
        <is>
          <t>Asistió</t>
        </is>
      </c>
      <c r="F89" s="40" t="n"/>
      <c r="G89" s="40" t="inlineStr">
        <is>
          <t>No</t>
        </is>
      </c>
      <c r="H89" s="67">
        <f>IF(B89="","",IF(OR(C89="",E89=""),"Faltan datos",IF(COUNTIF(Pacientes!$A$2:$A$46,C89)=0,"Código no registrado","OK")))</f>
        <v/>
      </c>
    </row>
    <row r="90" ht="15" customHeight="1" s="27">
      <c r="A90" s="39">
        <f>IF(B90="","",ROW()-2)</f>
        <v/>
      </c>
      <c r="B90" s="50" t="n">
        <v>46255</v>
      </c>
      <c r="C90" s="40" t="inlineStr">
        <is>
          <t>SIM-02</t>
        </is>
      </c>
      <c r="D90" s="40" t="inlineStr">
        <is>
          <t>Sí</t>
        </is>
      </c>
      <c r="E90" s="40" t="inlineStr">
        <is>
          <t>Asistió</t>
        </is>
      </c>
      <c r="F90" s="40" t="n"/>
      <c r="G90" s="40" t="inlineStr">
        <is>
          <t>No</t>
        </is>
      </c>
      <c r="H90" s="67">
        <f>IF(B90="","",IF(OR(C90="",E90=""),"Faltan datos",IF(COUNTIF(Pacientes!$A$2:$A$46,C90)=0,"Código no registrado","OK")))</f>
        <v/>
      </c>
    </row>
    <row r="91" ht="15" customHeight="1" s="27">
      <c r="A91" s="39">
        <f>IF(B91="","",ROW()-2)</f>
        <v/>
      </c>
      <c r="B91" s="50" t="n">
        <v>46255</v>
      </c>
      <c r="C91" s="40" t="inlineStr">
        <is>
          <t>SIM-28</t>
        </is>
      </c>
      <c r="D91" s="40" t="inlineStr">
        <is>
          <t>Sí</t>
        </is>
      </c>
      <c r="E91" s="40" t="inlineStr">
        <is>
          <t>No asistió</t>
        </is>
      </c>
      <c r="F91" s="40" t="inlineStr">
        <is>
          <t>Sin aviso</t>
        </is>
      </c>
      <c r="G91" s="40" t="inlineStr">
        <is>
          <t>Sí</t>
        </is>
      </c>
      <c r="H91" s="67">
        <f>IF(B91="","",IF(OR(C91="",E91=""),"Faltan datos",IF(COUNTIF(Pacientes!$A$2:$A$46,C91)=0,"Código no registrado","OK")))</f>
        <v/>
      </c>
    </row>
    <row r="92" ht="15" customHeight="1" s="27">
      <c r="A92" s="39">
        <f>IF(B92="","",ROW()-2)</f>
        <v/>
      </c>
      <c r="B92" s="50" t="n">
        <v>46255</v>
      </c>
      <c r="C92" s="40" t="inlineStr">
        <is>
          <t>SIM-01</t>
        </is>
      </c>
      <c r="D92" s="40" t="inlineStr">
        <is>
          <t>Sí</t>
        </is>
      </c>
      <c r="E92" s="40" t="inlineStr">
        <is>
          <t>Asistió</t>
        </is>
      </c>
      <c r="F92" s="40" t="n"/>
      <c r="G92" s="40" t="inlineStr">
        <is>
          <t>No</t>
        </is>
      </c>
      <c r="H92" s="67">
        <f>IF(B92="","",IF(OR(C92="",E92=""),"Faltan datos",IF(COUNTIF(Pacientes!$A$2:$A$46,C92)=0,"Código no registrado","OK")))</f>
        <v/>
      </c>
    </row>
    <row r="93" ht="15" customHeight="1" s="27">
      <c r="A93" s="39">
        <f>IF(B93="","",ROW()-2)</f>
        <v/>
      </c>
      <c r="B93" s="50" t="n">
        <v>46255</v>
      </c>
      <c r="C93" s="40" t="inlineStr">
        <is>
          <t>SIM-28</t>
        </is>
      </c>
      <c r="D93" s="40" t="inlineStr">
        <is>
          <t>Sí</t>
        </is>
      </c>
      <c r="E93" s="40" t="inlineStr">
        <is>
          <t>Asistió</t>
        </is>
      </c>
      <c r="F93" s="40" t="n"/>
      <c r="G93" s="40" t="inlineStr">
        <is>
          <t>No</t>
        </is>
      </c>
      <c r="H93" s="67">
        <f>IF(B93="","",IF(OR(C93="",E93=""),"Faltan datos",IF(COUNTIF(Pacientes!$A$2:$A$46,C93)=0,"Código no registrado","OK")))</f>
        <v/>
      </c>
    </row>
    <row r="94" ht="15" customHeight="1" s="27">
      <c r="A94" s="39">
        <f>IF(B94="","",ROW()-2)</f>
        <v/>
      </c>
      <c r="B94" s="50" t="n">
        <v>46258</v>
      </c>
      <c r="C94" s="40" t="inlineStr">
        <is>
          <t>SIM-10</t>
        </is>
      </c>
      <c r="D94" s="40" t="inlineStr">
        <is>
          <t>Sí</t>
        </is>
      </c>
      <c r="E94" s="40" t="inlineStr">
        <is>
          <t>Asistió</t>
        </is>
      </c>
      <c r="F94" s="40" t="n"/>
      <c r="G94" s="40" t="inlineStr">
        <is>
          <t>No</t>
        </is>
      </c>
      <c r="H94" s="67">
        <f>IF(B94="","",IF(OR(C94="",E94=""),"Faltan datos",IF(COUNTIF(Pacientes!$A$2:$A$46,C94)=0,"Código no registrado","OK")))</f>
        <v/>
      </c>
    </row>
    <row r="95" ht="15" customHeight="1" s="27">
      <c r="A95" s="39">
        <f>IF(B95="","",ROW()-2)</f>
        <v/>
      </c>
      <c r="B95" s="50" t="n">
        <v>46258</v>
      </c>
      <c r="C95" s="40" t="inlineStr">
        <is>
          <t>SIM-17</t>
        </is>
      </c>
      <c r="D95" s="40" t="inlineStr">
        <is>
          <t>Sí</t>
        </is>
      </c>
      <c r="E95" s="40" t="inlineStr">
        <is>
          <t>No asistió</t>
        </is>
      </c>
      <c r="F95" s="40" t="inlineStr">
        <is>
          <t>Sin aviso</t>
        </is>
      </c>
      <c r="G95" s="40" t="inlineStr">
        <is>
          <t>No</t>
        </is>
      </c>
      <c r="H95" s="67">
        <f>IF(B95="","",IF(OR(C95="",E95=""),"Faltan datos",IF(COUNTIF(Pacientes!$A$2:$A$46,C95)=0,"Código no registrado","OK")))</f>
        <v/>
      </c>
    </row>
    <row r="96" ht="15" customHeight="1" s="27">
      <c r="A96" s="39">
        <f>IF(B96="","",ROW()-2)</f>
        <v/>
      </c>
      <c r="B96" s="50" t="n">
        <v>46258</v>
      </c>
      <c r="C96" s="40" t="inlineStr">
        <is>
          <t>SIM-15</t>
        </is>
      </c>
      <c r="D96" s="40" t="inlineStr">
        <is>
          <t>Sí</t>
        </is>
      </c>
      <c r="E96" s="40" t="inlineStr">
        <is>
          <t>Asistió</t>
        </is>
      </c>
      <c r="F96" s="40" t="n"/>
      <c r="G96" s="40" t="inlineStr">
        <is>
          <t>No</t>
        </is>
      </c>
      <c r="H96" s="67">
        <f>IF(B96="","",IF(OR(C96="",E96=""),"Faltan datos",IF(COUNTIF(Pacientes!$A$2:$A$46,C96)=0,"Código no registrado","OK")))</f>
        <v/>
      </c>
    </row>
    <row r="97" ht="15" customHeight="1" s="27">
      <c r="A97" s="39">
        <f>IF(B97="","",ROW()-2)</f>
        <v/>
      </c>
      <c r="B97" s="50" t="n">
        <v>46258</v>
      </c>
      <c r="C97" s="40" t="inlineStr">
        <is>
          <t>SIM-02</t>
        </is>
      </c>
      <c r="D97" s="40" t="inlineStr">
        <is>
          <t>Sí</t>
        </is>
      </c>
      <c r="E97" s="40" t="inlineStr">
        <is>
          <t>Asistió</t>
        </is>
      </c>
      <c r="F97" s="40" t="n"/>
      <c r="G97" s="40" t="inlineStr">
        <is>
          <t>No</t>
        </is>
      </c>
      <c r="H97" s="67">
        <f>IF(B97="","",IF(OR(C97="",E97=""),"Faltan datos",IF(COUNTIF(Pacientes!$A$2:$A$46,C97)=0,"Código no registrado","OK")))</f>
        <v/>
      </c>
    </row>
    <row r="98" ht="15" customHeight="1" s="27">
      <c r="A98" s="39">
        <f>IF(B98="","",ROW()-2)</f>
        <v/>
      </c>
      <c r="B98" s="50" t="n">
        <v>46258</v>
      </c>
      <c r="C98" s="40" t="inlineStr">
        <is>
          <t>SIM-23</t>
        </is>
      </c>
      <c r="D98" s="40" t="inlineStr">
        <is>
          <t>Sí</t>
        </is>
      </c>
      <c r="E98" s="40" t="inlineStr">
        <is>
          <t>No asistió</t>
        </is>
      </c>
      <c r="F98" s="40" t="inlineStr">
        <is>
          <t>Sin aviso</t>
        </is>
      </c>
      <c r="G98" s="40" t="inlineStr">
        <is>
          <t>No</t>
        </is>
      </c>
      <c r="H98" s="67">
        <f>IF(B98="","",IF(OR(C98="",E98=""),"Faltan datos",IF(COUNTIF(Pacientes!$A$2:$A$46,C98)=0,"Código no registrado","OK")))</f>
        <v/>
      </c>
    </row>
    <row r="99" ht="15" customHeight="1" s="27">
      <c r="A99" s="39">
        <f>IF(B99="","",ROW()-2)</f>
        <v/>
      </c>
      <c r="B99" s="50" t="n">
        <v>46258</v>
      </c>
      <c r="C99" s="40" t="inlineStr">
        <is>
          <t>SIM-09</t>
        </is>
      </c>
      <c r="D99" s="40" t="inlineStr">
        <is>
          <t>Sí</t>
        </is>
      </c>
      <c r="E99" s="40" t="inlineStr">
        <is>
          <t>Reprogramada</t>
        </is>
      </c>
      <c r="F99" s="40" t="inlineStr">
        <is>
          <t>Aviso previo</t>
        </is>
      </c>
      <c r="G99" s="40" t="inlineStr">
        <is>
          <t>No</t>
        </is>
      </c>
      <c r="H99" s="67">
        <f>IF(B99="","",IF(OR(C99="",E99=""),"Faltan datos",IF(COUNTIF(Pacientes!$A$2:$A$46,C99)=0,"Código no registrado","OK")))</f>
        <v/>
      </c>
    </row>
    <row r="100" ht="15" customHeight="1" s="27">
      <c r="A100" s="39">
        <f>IF(B100="","",ROW()-2)</f>
        <v/>
      </c>
      <c r="B100" s="50" t="n">
        <v>46258</v>
      </c>
      <c r="C100" s="40" t="inlineStr">
        <is>
          <t>SIM-03</t>
        </is>
      </c>
      <c r="D100" s="40" t="inlineStr">
        <is>
          <t>Sí</t>
        </is>
      </c>
      <c r="E100" s="40" t="inlineStr">
        <is>
          <t>No asistió</t>
        </is>
      </c>
      <c r="F100" s="40" t="inlineStr">
        <is>
          <t>Sin aviso</t>
        </is>
      </c>
      <c r="G100" s="40" t="inlineStr">
        <is>
          <t>No</t>
        </is>
      </c>
      <c r="H100" s="67">
        <f>IF(B100="","",IF(OR(C100="",E100=""),"Faltan datos",IF(COUNTIF(Pacientes!$A$2:$A$46,C100)=0,"Código no registrado","OK")))</f>
        <v/>
      </c>
    </row>
    <row r="101" ht="15" customHeight="1" s="27">
      <c r="A101" s="39">
        <f>IF(B101="","",ROW()-2)</f>
        <v/>
      </c>
      <c r="B101" s="50" t="n">
        <v>46258</v>
      </c>
      <c r="C101" s="40" t="inlineStr">
        <is>
          <t>SIM-17</t>
        </is>
      </c>
      <c r="D101" s="40" t="inlineStr">
        <is>
          <t>Sí</t>
        </is>
      </c>
      <c r="E101" s="40" t="inlineStr">
        <is>
          <t>Asistió</t>
        </is>
      </c>
      <c r="F101" s="40" t="n"/>
      <c r="G101" s="40" t="inlineStr">
        <is>
          <t>No</t>
        </is>
      </c>
      <c r="H101" s="67">
        <f>IF(B101="","",IF(OR(C101="",E101=""),"Faltan datos",IF(COUNTIF(Pacientes!$A$2:$A$46,C101)=0,"Código no registrado","OK")))</f>
        <v/>
      </c>
    </row>
    <row r="102" ht="15" customHeight="1" s="27">
      <c r="A102" s="39">
        <f>IF(B102="","",ROW()-2)</f>
        <v/>
      </c>
      <c r="B102" s="50" t="n">
        <v>46260</v>
      </c>
      <c r="C102" s="40" t="inlineStr">
        <is>
          <t>SIM-27</t>
        </is>
      </c>
      <c r="D102" s="40" t="inlineStr">
        <is>
          <t>Sí</t>
        </is>
      </c>
      <c r="E102" s="40" t="inlineStr">
        <is>
          <t>Asistió</t>
        </is>
      </c>
      <c r="F102" s="40" t="n"/>
      <c r="G102" s="40" t="inlineStr">
        <is>
          <t>No</t>
        </is>
      </c>
      <c r="H102" s="67">
        <f>IF(B102="","",IF(OR(C102="",E102=""),"Faltan datos",IF(COUNTIF(Pacientes!$A$2:$A$46,C102)=0,"Código no registrado","OK")))</f>
        <v/>
      </c>
    </row>
    <row r="103" ht="15" customHeight="1" s="27">
      <c r="A103" s="39">
        <f>IF(B103="","",ROW()-2)</f>
        <v/>
      </c>
      <c r="B103" s="50" t="n">
        <v>46260</v>
      </c>
      <c r="C103" s="40" t="inlineStr">
        <is>
          <t>SIM-03</t>
        </is>
      </c>
      <c r="D103" s="40" t="inlineStr">
        <is>
          <t>Sí</t>
        </is>
      </c>
      <c r="E103" s="40" t="inlineStr">
        <is>
          <t>Asistió</t>
        </is>
      </c>
      <c r="F103" s="40" t="n"/>
      <c r="G103" s="40" t="inlineStr">
        <is>
          <t>No</t>
        </is>
      </c>
      <c r="H103" s="67">
        <f>IF(B103="","",IF(OR(C103="",E103=""),"Faltan datos",IF(COUNTIF(Pacientes!$A$2:$A$46,C103)=0,"Código no registrado","OK")))</f>
        <v/>
      </c>
    </row>
    <row r="104" ht="15" customHeight="1" s="27">
      <c r="A104" s="39">
        <f>IF(B104="","",ROW()-2)</f>
        <v/>
      </c>
      <c r="B104" s="50" t="n">
        <v>46260</v>
      </c>
      <c r="C104" s="40" t="inlineStr">
        <is>
          <t>SIM-13</t>
        </is>
      </c>
      <c r="D104" s="40" t="inlineStr">
        <is>
          <t>Sí</t>
        </is>
      </c>
      <c r="E104" s="40" t="inlineStr">
        <is>
          <t>Asistió</t>
        </is>
      </c>
      <c r="F104" s="40" t="n"/>
      <c r="G104" s="40" t="inlineStr">
        <is>
          <t>No</t>
        </is>
      </c>
      <c r="H104" s="67">
        <f>IF(B104="","",IF(OR(C104="",E104=""),"Faltan datos",IF(COUNTIF(Pacientes!$A$2:$A$46,C104)=0,"Código no registrado","OK")))</f>
        <v/>
      </c>
    </row>
    <row r="105" ht="15" customHeight="1" s="27">
      <c r="A105" s="39">
        <f>IF(B105="","",ROW()-2)</f>
        <v/>
      </c>
      <c r="B105" s="50" t="n">
        <v>46260</v>
      </c>
      <c r="C105" s="40" t="inlineStr">
        <is>
          <t>SIM-07</t>
        </is>
      </c>
      <c r="D105" s="40" t="inlineStr">
        <is>
          <t>Sí</t>
        </is>
      </c>
      <c r="E105" s="40" t="inlineStr">
        <is>
          <t>Asistió</t>
        </is>
      </c>
      <c r="F105" s="40" t="n"/>
      <c r="G105" s="40" t="inlineStr">
        <is>
          <t>No</t>
        </is>
      </c>
      <c r="H105" s="67">
        <f>IF(B105="","",IF(OR(C105="",E105=""),"Faltan datos",IF(COUNTIF(Pacientes!$A$2:$A$46,C105)=0,"Código no registrado","OK")))</f>
        <v/>
      </c>
    </row>
    <row r="106" ht="15" customHeight="1" s="27">
      <c r="A106" s="39">
        <f>IF(B106="","",ROW()-2)</f>
        <v/>
      </c>
      <c r="B106" s="50" t="n">
        <v>46260</v>
      </c>
      <c r="C106" s="40" t="inlineStr">
        <is>
          <t>SIM-05</t>
        </is>
      </c>
      <c r="D106" s="40" t="inlineStr">
        <is>
          <t>Sí</t>
        </is>
      </c>
      <c r="E106" s="40" t="inlineStr">
        <is>
          <t>Asistió</t>
        </is>
      </c>
      <c r="F106" s="40" t="n"/>
      <c r="G106" s="40" t="inlineStr">
        <is>
          <t>No</t>
        </is>
      </c>
      <c r="H106" s="67">
        <f>IF(B106="","",IF(OR(C106="",E106=""),"Faltan datos",IF(COUNTIF(Pacientes!$A$2:$A$46,C106)=0,"Código no registrado","OK")))</f>
        <v/>
      </c>
    </row>
    <row r="107" ht="15" customHeight="1" s="27">
      <c r="A107" s="39">
        <f>IF(B107="","",ROW()-2)</f>
        <v/>
      </c>
      <c r="B107" s="50" t="n">
        <v>46260</v>
      </c>
      <c r="C107" s="40" t="inlineStr">
        <is>
          <t>SIM-12</t>
        </is>
      </c>
      <c r="D107" s="40" t="inlineStr">
        <is>
          <t>Sí</t>
        </is>
      </c>
      <c r="E107" s="40" t="inlineStr">
        <is>
          <t>No asistió</t>
        </is>
      </c>
      <c r="F107" s="40" t="inlineStr">
        <is>
          <t>Sin aviso</t>
        </is>
      </c>
      <c r="G107" s="40" t="inlineStr">
        <is>
          <t>No</t>
        </is>
      </c>
      <c r="H107" s="67">
        <f>IF(B107="","",IF(OR(C107="",E107=""),"Faltan datos",IF(COUNTIF(Pacientes!$A$2:$A$46,C107)=0,"Código no registrado","OK")))</f>
        <v/>
      </c>
    </row>
    <row r="108" ht="15" customHeight="1" s="27">
      <c r="A108" s="39">
        <f>IF(B108="","",ROW()-2)</f>
        <v/>
      </c>
      <c r="B108" s="50" t="n">
        <v>46260</v>
      </c>
      <c r="C108" s="40" t="inlineStr">
        <is>
          <t>SIM-27</t>
        </is>
      </c>
      <c r="D108" s="40" t="inlineStr">
        <is>
          <t>Sí</t>
        </is>
      </c>
      <c r="E108" s="40" t="inlineStr">
        <is>
          <t>No asistió</t>
        </is>
      </c>
      <c r="F108" s="40" t="inlineStr">
        <is>
          <t>Sin aviso</t>
        </is>
      </c>
      <c r="G108" s="40" t="inlineStr">
        <is>
          <t>No</t>
        </is>
      </c>
      <c r="H108" s="67">
        <f>IF(B108="","",IF(OR(C108="",E108=""),"Faltan datos",IF(COUNTIF(Pacientes!$A$2:$A$46,C108)=0,"Código no registrado","OK")))</f>
        <v/>
      </c>
    </row>
    <row r="109" ht="15" customHeight="1" s="27">
      <c r="A109" s="39">
        <f>IF(B109="","",ROW()-2)</f>
        <v/>
      </c>
      <c r="B109" s="50" t="n">
        <v>46260</v>
      </c>
      <c r="C109" s="40" t="inlineStr">
        <is>
          <t>SIM-10</t>
        </is>
      </c>
      <c r="D109" s="40" t="inlineStr">
        <is>
          <t>Sí</t>
        </is>
      </c>
      <c r="E109" s="40" t="inlineStr">
        <is>
          <t>No asistió</t>
        </is>
      </c>
      <c r="F109" s="40" t="inlineStr">
        <is>
          <t>Sin aviso</t>
        </is>
      </c>
      <c r="G109" s="40" t="inlineStr">
        <is>
          <t>No</t>
        </is>
      </c>
      <c r="H109" s="67">
        <f>IF(B109="","",IF(OR(C109="",E109=""),"Faltan datos",IF(COUNTIF(Pacientes!$A$2:$A$46,C109)=0,"Código no registrado","OK")))</f>
        <v/>
      </c>
    </row>
    <row r="110" ht="15" customHeight="1" s="27">
      <c r="A110" s="39">
        <f>IF(B110="","",ROW()-2)</f>
        <v/>
      </c>
      <c r="B110" s="50" t="n">
        <v>46260</v>
      </c>
      <c r="C110" s="40" t="inlineStr">
        <is>
          <t>SIM-15</t>
        </is>
      </c>
      <c r="D110" s="40" t="inlineStr">
        <is>
          <t>Sí</t>
        </is>
      </c>
      <c r="E110" s="40" t="inlineStr">
        <is>
          <t>Asistió</t>
        </is>
      </c>
      <c r="F110" s="40" t="n"/>
      <c r="G110" s="40" t="inlineStr">
        <is>
          <t>No</t>
        </is>
      </c>
      <c r="H110" s="67">
        <f>IF(B110="","",IF(OR(C110="",E110=""),"Faltan datos",IF(COUNTIF(Pacientes!$A$2:$A$46,C110)=0,"Código no registrado","OK")))</f>
        <v/>
      </c>
    </row>
    <row r="111" ht="15" customHeight="1" s="27">
      <c r="A111" s="39">
        <f>IF(B111="","",ROW()-2)</f>
        <v/>
      </c>
      <c r="B111" s="50" t="n">
        <v>46260</v>
      </c>
      <c r="C111" s="40" t="inlineStr">
        <is>
          <t>SIM-26</t>
        </is>
      </c>
      <c r="D111" s="40" t="inlineStr">
        <is>
          <t>Sí</t>
        </is>
      </c>
      <c r="E111" s="40" t="inlineStr">
        <is>
          <t>Asistió</t>
        </is>
      </c>
      <c r="F111" s="40" t="n"/>
      <c r="G111" s="40" t="inlineStr">
        <is>
          <t>No</t>
        </is>
      </c>
      <c r="H111" s="67">
        <f>IF(B111="","",IF(OR(C111="",E111=""),"Faltan datos",IF(COUNTIF(Pacientes!$A$2:$A$46,C111)=0,"Código no registrado","OK")))</f>
        <v/>
      </c>
    </row>
    <row r="112" ht="15" customHeight="1" s="27">
      <c r="A112" s="39">
        <f>IF(B112="","",ROW()-2)</f>
        <v/>
      </c>
      <c r="B112" s="50" t="n">
        <v>46260</v>
      </c>
      <c r="C112" s="40" t="inlineStr">
        <is>
          <t>SIM-25</t>
        </is>
      </c>
      <c r="D112" s="40" t="inlineStr">
        <is>
          <t>Sí</t>
        </is>
      </c>
      <c r="E112" s="40" t="inlineStr">
        <is>
          <t>Asistió</t>
        </is>
      </c>
      <c r="F112" s="40" t="n"/>
      <c r="G112" s="40" t="inlineStr">
        <is>
          <t>No</t>
        </is>
      </c>
      <c r="H112" s="67">
        <f>IF(B112="","",IF(OR(C112="",E112=""),"Faltan datos",IF(COUNTIF(Pacientes!$A$2:$A$46,C112)=0,"Código no registrado","OK")))</f>
        <v/>
      </c>
    </row>
    <row r="113" ht="15" customHeight="1" s="27">
      <c r="A113" s="39">
        <f>IF(B113="","",ROW()-2)</f>
        <v/>
      </c>
      <c r="B113" s="50" t="n">
        <v>46260</v>
      </c>
      <c r="C113" s="40" t="inlineStr">
        <is>
          <t>SIM-03</t>
        </is>
      </c>
      <c r="D113" s="40" t="inlineStr">
        <is>
          <t>Sí</t>
        </is>
      </c>
      <c r="E113" s="40" t="inlineStr">
        <is>
          <t>Asistió</t>
        </is>
      </c>
      <c r="F113" s="40" t="n"/>
      <c r="G113" s="40" t="inlineStr">
        <is>
          <t>No</t>
        </is>
      </c>
      <c r="H113" s="67">
        <f>IF(B113="","",IF(OR(C113="",E113=""),"Faltan datos",IF(COUNTIF(Pacientes!$A$2:$A$46,C113)=0,"Código no registrado","OK")))</f>
        <v/>
      </c>
    </row>
    <row r="114" ht="15" customHeight="1" s="27">
      <c r="A114" s="39">
        <f>IF(B114="","",ROW()-2)</f>
        <v/>
      </c>
      <c r="B114" s="50" t="n">
        <v>46262</v>
      </c>
      <c r="C114" s="40" t="inlineStr">
        <is>
          <t>SIM-26</t>
        </is>
      </c>
      <c r="D114" s="40" t="inlineStr">
        <is>
          <t>Sí</t>
        </is>
      </c>
      <c r="E114" s="40" t="inlineStr">
        <is>
          <t>Asistió</t>
        </is>
      </c>
      <c r="F114" s="40" t="n"/>
      <c r="G114" s="40" t="inlineStr">
        <is>
          <t>No</t>
        </is>
      </c>
      <c r="H114" s="67">
        <f>IF(B114="","",IF(OR(C114="",E114=""),"Faltan datos",IF(COUNTIF(Pacientes!$A$2:$A$46,C114)=0,"Código no registrado","OK")))</f>
        <v/>
      </c>
    </row>
    <row r="115" ht="15" customHeight="1" s="27">
      <c r="A115" s="39">
        <f>IF(B115="","",ROW()-2)</f>
        <v/>
      </c>
      <c r="B115" s="50" t="n">
        <v>46262</v>
      </c>
      <c r="C115" s="40" t="inlineStr">
        <is>
          <t>SIM-07</t>
        </is>
      </c>
      <c r="D115" s="40" t="inlineStr">
        <is>
          <t>Sí</t>
        </is>
      </c>
      <c r="E115" s="40" t="inlineStr">
        <is>
          <t>Asistió</t>
        </is>
      </c>
      <c r="F115" s="40" t="n"/>
      <c r="G115" s="40" t="inlineStr">
        <is>
          <t>No</t>
        </is>
      </c>
      <c r="H115" s="67">
        <f>IF(B115="","",IF(OR(C115="",E115=""),"Faltan datos",IF(COUNTIF(Pacientes!$A$2:$A$46,C115)=0,"Código no registrado","OK")))</f>
        <v/>
      </c>
    </row>
    <row r="116" ht="15" customHeight="1" s="27">
      <c r="A116" s="39">
        <f>IF(B116="","",ROW()-2)</f>
        <v/>
      </c>
      <c r="B116" s="50" t="n">
        <v>46262</v>
      </c>
      <c r="C116" s="40" t="inlineStr">
        <is>
          <t>SIM-23</t>
        </is>
      </c>
      <c r="D116" s="40" t="inlineStr">
        <is>
          <t>Sí</t>
        </is>
      </c>
      <c r="E116" s="40" t="inlineStr">
        <is>
          <t>No asistió</t>
        </is>
      </c>
      <c r="F116" s="40" t="inlineStr">
        <is>
          <t>Sin aviso</t>
        </is>
      </c>
      <c r="G116" s="40" t="inlineStr">
        <is>
          <t>No</t>
        </is>
      </c>
      <c r="H116" s="67">
        <f>IF(B116="","",IF(OR(C116="",E116=""),"Faltan datos",IF(COUNTIF(Pacientes!$A$2:$A$46,C116)=0,"Código no registrado","OK")))</f>
        <v/>
      </c>
    </row>
    <row r="117" ht="15" customHeight="1" s="27">
      <c r="A117" s="39">
        <f>IF(B117="","",ROW()-2)</f>
        <v/>
      </c>
      <c r="B117" s="50" t="n">
        <v>46262</v>
      </c>
      <c r="C117" s="40" t="inlineStr">
        <is>
          <t>SIM-07</t>
        </is>
      </c>
      <c r="D117" s="40" t="inlineStr">
        <is>
          <t>Sí</t>
        </is>
      </c>
      <c r="E117" s="40" t="inlineStr">
        <is>
          <t>Asistió</t>
        </is>
      </c>
      <c r="F117" s="40" t="n"/>
      <c r="G117" s="40" t="inlineStr">
        <is>
          <t>No</t>
        </is>
      </c>
      <c r="H117" s="67">
        <f>IF(B117="","",IF(OR(C117="",E117=""),"Faltan datos",IF(COUNTIF(Pacientes!$A$2:$A$46,C117)=0,"Código no registrado","OK")))</f>
        <v/>
      </c>
    </row>
    <row r="118" ht="15" customHeight="1" s="27">
      <c r="A118" s="39">
        <f>IF(B118="","",ROW()-2)</f>
        <v/>
      </c>
      <c r="B118" s="50" t="n">
        <v>46262</v>
      </c>
      <c r="C118" s="40" t="inlineStr">
        <is>
          <t>SIM-11</t>
        </is>
      </c>
      <c r="D118" s="40" t="inlineStr">
        <is>
          <t>Sí</t>
        </is>
      </c>
      <c r="E118" s="40" t="inlineStr">
        <is>
          <t>Asistió</t>
        </is>
      </c>
      <c r="F118" s="40" t="n"/>
      <c r="G118" s="40" t="inlineStr">
        <is>
          <t>No</t>
        </is>
      </c>
      <c r="H118" s="67">
        <f>IF(B118="","",IF(OR(C118="",E118=""),"Faltan datos",IF(COUNTIF(Pacientes!$A$2:$A$46,C118)=0,"Código no registrado","OK")))</f>
        <v/>
      </c>
    </row>
    <row r="119" ht="15" customHeight="1" s="27">
      <c r="A119" s="39">
        <f>IF(B119="","",ROW()-2)</f>
        <v/>
      </c>
      <c r="B119" s="50" t="n">
        <v>46262</v>
      </c>
      <c r="C119" s="40" t="inlineStr">
        <is>
          <t>SIM-18</t>
        </is>
      </c>
      <c r="D119" s="40" t="inlineStr">
        <is>
          <t>Sí</t>
        </is>
      </c>
      <c r="E119" s="40" t="inlineStr">
        <is>
          <t>Asistió</t>
        </is>
      </c>
      <c r="F119" s="40" t="n"/>
      <c r="G119" s="40" t="inlineStr">
        <is>
          <t>No</t>
        </is>
      </c>
      <c r="H119" s="67">
        <f>IF(B119="","",IF(OR(C119="",E119=""),"Faltan datos",IF(COUNTIF(Pacientes!$A$2:$A$46,C119)=0,"Código no registrado","OK")))</f>
        <v/>
      </c>
    </row>
    <row r="120" ht="15" customHeight="1" s="27">
      <c r="A120" s="39">
        <f>IF(B120="","",ROW()-2)</f>
        <v/>
      </c>
      <c r="B120" s="50" t="n">
        <v>46262</v>
      </c>
      <c r="C120" s="40" t="inlineStr">
        <is>
          <t>SIM-27</t>
        </is>
      </c>
      <c r="D120" s="40" t="inlineStr">
        <is>
          <t>Sí</t>
        </is>
      </c>
      <c r="E120" s="40" t="inlineStr">
        <is>
          <t>Asistió</t>
        </is>
      </c>
      <c r="F120" s="40" t="n"/>
      <c r="G120" s="40" t="inlineStr">
        <is>
          <t>No</t>
        </is>
      </c>
      <c r="H120" s="67">
        <f>IF(B120="","",IF(OR(C120="",E120=""),"Faltan datos",IF(COUNTIF(Pacientes!$A$2:$A$46,C120)=0,"Código no registrado","OK")))</f>
        <v/>
      </c>
    </row>
    <row r="121" ht="15" customHeight="1" s="27">
      <c r="A121" s="39">
        <f>IF(B121="","",ROW()-2)</f>
        <v/>
      </c>
      <c r="B121" s="50" t="n">
        <v>46262</v>
      </c>
      <c r="C121" s="40" t="inlineStr">
        <is>
          <t>SIM-03</t>
        </is>
      </c>
      <c r="D121" s="40" t="inlineStr">
        <is>
          <t>Sí</t>
        </is>
      </c>
      <c r="E121" s="40" t="inlineStr">
        <is>
          <t>Asistió</t>
        </is>
      </c>
      <c r="F121" s="40" t="n"/>
      <c r="G121" s="40" t="inlineStr">
        <is>
          <t>No</t>
        </is>
      </c>
      <c r="H121" s="67">
        <f>IF(B121="","",IF(OR(C121="",E121=""),"Faltan datos",IF(COUNTIF(Pacientes!$A$2:$A$46,C121)=0,"Código no registrado","OK")))</f>
        <v/>
      </c>
    </row>
    <row r="122" ht="15" customHeight="1" s="27">
      <c r="A122" s="39">
        <f>IF(B122="","",ROW()-2)</f>
        <v/>
      </c>
      <c r="B122" s="50" t="n">
        <v>46262</v>
      </c>
      <c r="C122" s="40" t="inlineStr">
        <is>
          <t>SIM-04</t>
        </is>
      </c>
      <c r="D122" s="40" t="inlineStr">
        <is>
          <t>Sí</t>
        </is>
      </c>
      <c r="E122" s="40" t="inlineStr">
        <is>
          <t>No asistió</t>
        </is>
      </c>
      <c r="F122" s="40" t="inlineStr">
        <is>
          <t>Sin aviso</t>
        </is>
      </c>
      <c r="G122" s="40" t="inlineStr">
        <is>
          <t>No</t>
        </is>
      </c>
      <c r="H122" s="67">
        <f>IF(B122="","",IF(OR(C122="",E122=""),"Faltan datos",IF(COUNTIF(Pacientes!$A$2:$A$46,C122)=0,"Código no registrado","OK")))</f>
        <v/>
      </c>
    </row>
    <row r="123" ht="15" customHeight="1" s="27">
      <c r="A123" s="39">
        <f>IF(B123="","",ROW()-2)</f>
        <v/>
      </c>
      <c r="B123" s="50" t="n">
        <v>46262</v>
      </c>
      <c r="C123" s="40" t="inlineStr">
        <is>
          <t>SIM-04</t>
        </is>
      </c>
      <c r="D123" s="40" t="inlineStr">
        <is>
          <t>Sí</t>
        </is>
      </c>
      <c r="E123" s="40" t="inlineStr">
        <is>
          <t>Asistió</t>
        </is>
      </c>
      <c r="F123" s="40" t="n"/>
      <c r="G123" s="40" t="inlineStr">
        <is>
          <t>No</t>
        </is>
      </c>
      <c r="H123" s="67">
        <f>IF(B123="","",IF(OR(C123="",E123=""),"Faltan datos",IF(COUNTIF(Pacientes!$A$2:$A$46,C123)=0,"Código no registrado","OK")))</f>
        <v/>
      </c>
    </row>
    <row r="124" ht="15" customHeight="1" s="27">
      <c r="A124" s="39">
        <f>IF(B124="","",ROW()-2)</f>
        <v/>
      </c>
      <c r="B124" s="50" t="n">
        <v>46262</v>
      </c>
      <c r="C124" s="40" t="inlineStr">
        <is>
          <t>SIM-30</t>
        </is>
      </c>
      <c r="D124" s="40" t="inlineStr">
        <is>
          <t>Sí</t>
        </is>
      </c>
      <c r="E124" s="40" t="inlineStr">
        <is>
          <t>Asistió</t>
        </is>
      </c>
      <c r="F124" s="40" t="n"/>
      <c r="G124" s="40" t="inlineStr">
        <is>
          <t>No</t>
        </is>
      </c>
      <c r="H124" s="67">
        <f>IF(B124="","",IF(OR(C124="",E124=""),"Faltan datos",IF(COUNTIF(Pacientes!$A$2:$A$46,C124)=0,"Código no registrado","OK")))</f>
        <v/>
      </c>
    </row>
    <row r="125" ht="15" customHeight="1" s="27">
      <c r="A125" s="39">
        <f>IF(B125="","",ROW()-2)</f>
        <v/>
      </c>
      <c r="B125" s="50" t="n">
        <v>46265</v>
      </c>
      <c r="C125" s="40" t="inlineStr">
        <is>
          <t>SIM-15</t>
        </is>
      </c>
      <c r="D125" s="40" t="inlineStr">
        <is>
          <t>Sí</t>
        </is>
      </c>
      <c r="E125" s="40" t="inlineStr">
        <is>
          <t>Asistió</t>
        </is>
      </c>
      <c r="F125" s="40" t="n"/>
      <c r="G125" s="40" t="inlineStr">
        <is>
          <t>No</t>
        </is>
      </c>
      <c r="H125" s="67">
        <f>IF(B125="","",IF(OR(C125="",E125=""),"Faltan datos",IF(COUNTIF(Pacientes!$A$2:$A$46,C125)=0,"Código no registrado","OK")))</f>
        <v/>
      </c>
    </row>
    <row r="126" ht="15" customHeight="1" s="27">
      <c r="A126" s="39">
        <f>IF(B126="","",ROW()-2)</f>
        <v/>
      </c>
      <c r="B126" s="50" t="n">
        <v>46265</v>
      </c>
      <c r="C126" s="40" t="inlineStr">
        <is>
          <t>SIM-14</t>
        </is>
      </c>
      <c r="D126" s="40" t="inlineStr">
        <is>
          <t>Sí</t>
        </is>
      </c>
      <c r="E126" s="40" t="inlineStr">
        <is>
          <t>Asistió</t>
        </is>
      </c>
      <c r="F126" s="40" t="n"/>
      <c r="G126" s="40" t="inlineStr">
        <is>
          <t>No</t>
        </is>
      </c>
      <c r="H126" s="67">
        <f>IF(B126="","",IF(OR(C126="",E126=""),"Faltan datos",IF(COUNTIF(Pacientes!$A$2:$A$46,C126)=0,"Código no registrado","OK")))</f>
        <v/>
      </c>
    </row>
    <row r="127" ht="15" customHeight="1" s="27">
      <c r="A127" s="39">
        <f>IF(B127="","",ROW()-2)</f>
        <v/>
      </c>
      <c r="B127" s="50" t="n">
        <v>46265</v>
      </c>
      <c r="C127" s="40" t="inlineStr">
        <is>
          <t>SIM-22</t>
        </is>
      </c>
      <c r="D127" s="40" t="inlineStr">
        <is>
          <t>Sí</t>
        </is>
      </c>
      <c r="E127" s="40" t="inlineStr">
        <is>
          <t>Cancelada</t>
        </is>
      </c>
      <c r="F127" s="40" t="inlineStr">
        <is>
          <t>Aviso previo</t>
        </is>
      </c>
      <c r="G127" s="40" t="inlineStr">
        <is>
          <t>No</t>
        </is>
      </c>
      <c r="H127" s="67">
        <f>IF(B127="","",IF(OR(C127="",E127=""),"Faltan datos",IF(COUNTIF(Pacientes!$A$2:$A$46,C127)=0,"Código no registrado","OK")))</f>
        <v/>
      </c>
    </row>
    <row r="128" ht="15" customHeight="1" s="27">
      <c r="A128" s="39">
        <f>IF(B128="","",ROW()-2)</f>
        <v/>
      </c>
      <c r="B128" s="50" t="n">
        <v>46265</v>
      </c>
      <c r="C128" s="40" t="inlineStr">
        <is>
          <t>SIM-29</t>
        </is>
      </c>
      <c r="D128" s="40" t="inlineStr">
        <is>
          <t>Sí</t>
        </is>
      </c>
      <c r="E128" s="40" t="inlineStr">
        <is>
          <t>Asistió</t>
        </is>
      </c>
      <c r="F128" s="40" t="n"/>
      <c r="G128" s="40" t="inlineStr">
        <is>
          <t>No</t>
        </is>
      </c>
      <c r="H128" s="67">
        <f>IF(B128="","",IF(OR(C128="",E128=""),"Faltan datos",IF(COUNTIF(Pacientes!$A$2:$A$46,C128)=0,"Código no registrado","OK")))</f>
        <v/>
      </c>
    </row>
    <row r="129" ht="15" customHeight="1" s="27">
      <c r="A129" s="39">
        <f>IF(B129="","",ROW()-2)</f>
        <v/>
      </c>
      <c r="B129" s="50" t="n">
        <v>46265</v>
      </c>
      <c r="C129" s="40" t="inlineStr">
        <is>
          <t>SIM-21</t>
        </is>
      </c>
      <c r="D129" s="40" t="inlineStr">
        <is>
          <t>Sí</t>
        </is>
      </c>
      <c r="E129" s="40" t="inlineStr">
        <is>
          <t>Reprogramada</t>
        </is>
      </c>
      <c r="F129" s="40" t="inlineStr">
        <is>
          <t>Aviso previo</t>
        </is>
      </c>
      <c r="G129" s="40" t="inlineStr">
        <is>
          <t>No</t>
        </is>
      </c>
      <c r="H129" s="67">
        <f>IF(B129="","",IF(OR(C129="",E129=""),"Faltan datos",IF(COUNTIF(Pacientes!$A$2:$A$46,C129)=0,"Código no registrado","OK")))</f>
        <v/>
      </c>
    </row>
    <row r="130" ht="15" customHeight="1" s="27">
      <c r="A130" s="39">
        <f>IF(B130="","",ROW()-2)</f>
        <v/>
      </c>
      <c r="B130" s="50" t="n">
        <v>46265</v>
      </c>
      <c r="C130" s="40" t="inlineStr">
        <is>
          <t>SIM-03</t>
        </is>
      </c>
      <c r="D130" s="40" t="inlineStr">
        <is>
          <t>Sí</t>
        </is>
      </c>
      <c r="E130" s="40" t="inlineStr">
        <is>
          <t>Cancelada</t>
        </is>
      </c>
      <c r="F130" s="40" t="inlineStr">
        <is>
          <t>Aviso previo</t>
        </is>
      </c>
      <c r="G130" s="40" t="inlineStr">
        <is>
          <t>No</t>
        </is>
      </c>
      <c r="H130" s="67">
        <f>IF(B130="","",IF(OR(C130="",E130=""),"Faltan datos",IF(COUNTIF(Pacientes!$A$2:$A$46,C130)=0,"Código no registrado","OK")))</f>
        <v/>
      </c>
    </row>
    <row r="131" ht="15" customHeight="1" s="27">
      <c r="A131" s="39">
        <f>IF(B131="","",ROW()-2)</f>
        <v/>
      </c>
      <c r="B131" s="50" t="n">
        <v>46265</v>
      </c>
      <c r="C131" s="40" t="inlineStr">
        <is>
          <t>SIM-22</t>
        </is>
      </c>
      <c r="D131" s="40" t="inlineStr">
        <is>
          <t>Sí</t>
        </is>
      </c>
      <c r="E131" s="40" t="inlineStr">
        <is>
          <t>Asistió</t>
        </is>
      </c>
      <c r="F131" s="40" t="n"/>
      <c r="G131" s="40" t="inlineStr">
        <is>
          <t>No</t>
        </is>
      </c>
      <c r="H131" s="67">
        <f>IF(B131="","",IF(OR(C131="",E131=""),"Faltan datos",IF(COUNTIF(Pacientes!$A$2:$A$46,C131)=0,"Código no registrado","OK")))</f>
        <v/>
      </c>
    </row>
    <row r="132" ht="15" customHeight="1" s="27">
      <c r="A132" s="39">
        <f>IF(B132="","",ROW()-2)</f>
        <v/>
      </c>
      <c r="B132" s="50" t="n">
        <v>46265</v>
      </c>
      <c r="C132" s="40" t="inlineStr">
        <is>
          <t>SIM-04</t>
        </is>
      </c>
      <c r="D132" s="40" t="inlineStr">
        <is>
          <t>Sí</t>
        </is>
      </c>
      <c r="E132" s="40" t="inlineStr">
        <is>
          <t>No asistió</t>
        </is>
      </c>
      <c r="F132" s="40" t="inlineStr">
        <is>
          <t>Sin aviso</t>
        </is>
      </c>
      <c r="G132" s="40" t="inlineStr">
        <is>
          <t>No</t>
        </is>
      </c>
      <c r="H132" s="67">
        <f>IF(B132="","",IF(OR(C132="",E132=""),"Faltan datos",IF(COUNTIF(Pacientes!$A$2:$A$46,C132)=0,"Código no registrado","OK")))</f>
        <v/>
      </c>
    </row>
    <row r="133" ht="15" customHeight="1" s="27">
      <c r="A133" s="39">
        <f>IF(B133="","",ROW()-2)</f>
        <v/>
      </c>
      <c r="B133" s="50" t="n">
        <v>46265</v>
      </c>
      <c r="C133" s="40" t="inlineStr">
        <is>
          <t>SIM-05</t>
        </is>
      </c>
      <c r="D133" s="40" t="inlineStr">
        <is>
          <t>Sí</t>
        </is>
      </c>
      <c r="E133" s="40" t="inlineStr">
        <is>
          <t>Asistió</t>
        </is>
      </c>
      <c r="F133" s="40" t="n"/>
      <c r="G133" s="40" t="inlineStr">
        <is>
          <t>No</t>
        </is>
      </c>
      <c r="H133" s="67">
        <f>IF(B133="","",IF(OR(C133="",E133=""),"Faltan datos",IF(COUNTIF(Pacientes!$A$2:$A$46,C133)=0,"Código no registrado","OK")))</f>
        <v/>
      </c>
    </row>
    <row r="134" ht="15" customHeight="1" s="27">
      <c r="A134" s="39">
        <f>IF(B134="","",ROW()-2)</f>
        <v/>
      </c>
      <c r="B134" s="50" t="n">
        <v>46265</v>
      </c>
      <c r="C134" s="40" t="inlineStr">
        <is>
          <t>SIM-13</t>
        </is>
      </c>
      <c r="D134" s="40" t="inlineStr">
        <is>
          <t>Sí</t>
        </is>
      </c>
      <c r="E134" s="40" t="inlineStr">
        <is>
          <t>Asistió</t>
        </is>
      </c>
      <c r="F134" s="40" t="n"/>
      <c r="G134" s="40" t="inlineStr">
        <is>
          <t>No</t>
        </is>
      </c>
      <c r="H134" s="67">
        <f>IF(B134="","",IF(OR(C134="",E134=""),"Faltan datos",IF(COUNTIF(Pacientes!$A$2:$A$46,C134)=0,"Código no registrado","OK")))</f>
        <v/>
      </c>
    </row>
    <row r="135" ht="15" customHeight="1" s="27">
      <c r="A135" s="39">
        <f>IF(B135="","",ROW()-2)</f>
        <v/>
      </c>
      <c r="B135" s="50" t="n">
        <v>46265</v>
      </c>
      <c r="C135" s="40" t="inlineStr">
        <is>
          <t>SIM-18</t>
        </is>
      </c>
      <c r="D135" s="40" t="inlineStr">
        <is>
          <t>Sí</t>
        </is>
      </c>
      <c r="E135" s="40" t="inlineStr">
        <is>
          <t>No asistió</t>
        </is>
      </c>
      <c r="F135" s="40" t="inlineStr">
        <is>
          <t>Sin aviso</t>
        </is>
      </c>
      <c r="G135" s="40" t="inlineStr">
        <is>
          <t>Sí</t>
        </is>
      </c>
      <c r="H135" s="67">
        <f>IF(B135="","",IF(OR(C135="",E135=""),"Faltan datos",IF(COUNTIF(Pacientes!$A$2:$A$46,C135)=0,"Código no registrado","OK")))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67">
        <f>IF(B136="","",IF(OR(C136="",E136=""),"Faltan datos",IF(COUNTIF(Pacientes!$A$2:$A$46,C136)=0,"Código no registrado","OK")))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67">
        <f>IF(B137="","",IF(OR(C137="",E137=""),"Faltan datos",IF(COUNTIF(Pacientes!$A$2:$A$46,C137)=0,"Código no registrado","OK")))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67">
        <f>IF(B138="","",IF(OR(C138="",E138=""),"Faltan datos",IF(COUNTIF(Pacientes!$A$2:$A$46,C138)=0,"Código no registrado","OK")))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67">
        <f>IF(B139="","",IF(OR(C139="",E139=""),"Faltan datos",IF(COUNTIF(Pacientes!$A$2:$A$46,C139)=0,"Código no registrado","OK")))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67">
        <f>IF(B140="","",IF(OR(C140="",E140=""),"Faltan datos",IF(COUNTIF(Pacientes!$A$2:$A$46,C140)=0,"Código no registrado","OK")))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67">
        <f>IF(B141="","",IF(OR(C141="",E141=""),"Faltan datos",IF(COUNTIF(Pacientes!$A$2:$A$46,C141)=0,"Código no registrado","OK")))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67">
        <f>IF(B142="","",IF(OR(C142="",E142=""),"Faltan datos",IF(COUNTIF(Pacientes!$A$2:$A$46,C142)=0,"Código no registrado","OK")))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67">
        <f>IF(B143="","",IF(OR(C143="",E143=""),"Faltan datos",IF(COUNTIF(Pacientes!$A$2:$A$46,C143)=0,"Código no registrado","OK")))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67">
        <f>IF(B144="","",IF(OR(C144="",E144=""),"Faltan datos",IF(COUNTIF(Pacientes!$A$2:$A$46,C144)=0,"Código no registrado","OK")))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67">
        <f>IF(B145="","",IF(OR(C145="",E145=""),"Faltan datos",IF(COUNTIF(Pacientes!$A$2:$A$46,C145)=0,"Código no registrado","OK")))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67">
        <f>IF(B146="","",IF(OR(C146="",E146=""),"Faltan datos",IF(COUNTIF(Pacientes!$A$2:$A$46,C146)=0,"Código no registrado","OK")))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67">
        <f>IF(B147="","",IF(OR(C147="",E147=""),"Faltan datos",IF(COUNTIF(Pacientes!$A$2:$A$46,C147)=0,"Código no registrado","OK")))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67">
        <f>IF(B148="","",IF(OR(C148="",E148=""),"Faltan datos",IF(COUNTIF(Pacientes!$A$2:$A$46,C148)=0,"Código no registrado","OK")))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67">
        <f>IF(B149="","",IF(OR(C149="",E149=""),"Faltan datos",IF(COUNTIF(Pacientes!$A$2:$A$46,C149)=0,"Código no registrado","OK")))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67">
        <f>IF(B150="","",IF(OR(C150="",E150=""),"Faltan datos",IF(COUNTIF(Pacientes!$A$2:$A$46,C150)=0,"Código no registrado","OK")))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67">
        <f>IF(B151="","",IF(OR(C151="",E151=""),"Faltan datos",IF(COUNTIF(Pacientes!$A$2:$A$46,C151)=0,"Código no registrado","OK")))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67">
        <f>IF(B152="","",IF(OR(C152="",E152=""),"Faltan datos",IF(COUNTIF(Pacientes!$A$2:$A$46,C152)=0,"Código no registrado","OK")))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67">
        <f>IF(B153="","",IF(OR(C153="",E153=""),"Faltan datos",IF(COUNTIF(Pacientes!$A$2:$A$46,C153)=0,"Código no registrado","OK")))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67">
        <f>IF(B154="","",IF(OR(C154="",E154=""),"Faltan datos",IF(COUNTIF(Pacientes!$A$2:$A$46,C154)=0,"Código no registrado","OK")))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67">
        <f>IF(B155="","",IF(OR(C155="",E155=""),"Faltan datos",IF(COUNTIF(Pacientes!$A$2:$A$46,C155)=0,"Código no registrado","OK")))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67">
        <f>IF(B156="","",IF(OR(C156="",E156=""),"Faltan datos",IF(COUNTIF(Pacientes!$A$2:$A$46,C156)=0,"Código no registrado","OK")))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67">
        <f>IF(B157="","",IF(OR(C157="",E157=""),"Faltan datos",IF(COUNTIF(Pacientes!$A$2:$A$46,C157)=0,"Código no registrado","OK")))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67">
        <f>IF(B158="","",IF(OR(C158="",E158=""),"Faltan datos",IF(COUNTIF(Pacientes!$A$2:$A$46,C158)=0,"Código no registrado","OK")))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67">
        <f>IF(B159="","",IF(OR(C159="",E159=""),"Faltan datos",IF(COUNTIF(Pacientes!$A$2:$A$46,C159)=0,"Código no registrado","OK")))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67">
        <f>IF(B160="","",IF(OR(C160="",E160=""),"Faltan datos",IF(COUNTIF(Pacientes!$A$2:$A$46,C160)=0,"Código no registrado","OK")))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67">
        <f>IF(B161="","",IF(OR(C161="",E161=""),"Faltan datos",IF(COUNTIF(Pacientes!$A$2:$A$46,C161)=0,"Código no registrado","OK")))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67">
        <f>IF(B162="","",IF(OR(C162="",E162=""),"Faltan datos",IF(COUNTIF(Pacientes!$A$2:$A$46,C162)=0,"Código no registrado","OK")))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67">
        <f>IF(B163="","",IF(OR(C163="",E163=""),"Faltan datos",IF(COUNTIF(Pacientes!$A$2:$A$46,C163)=0,"Código no registrado","OK")))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67">
        <f>IF(B164="","",IF(OR(C164="",E164=""),"Faltan datos",IF(COUNTIF(Pacientes!$A$2:$A$46,C164)=0,"Código no registrado","OK")))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67">
        <f>IF(B165="","",IF(OR(C165="",E165=""),"Faltan datos",IF(COUNTIF(Pacientes!$A$2:$A$46,C165)=0,"Código no registrado","OK")))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67">
        <f>IF(B166="","",IF(OR(C166="",E166=""),"Faltan datos",IF(COUNTIF(Pacientes!$A$2:$A$46,C166)=0,"Código no registrado","OK")))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67">
        <f>IF(B167="","",IF(OR(C167="",E167=""),"Faltan datos",IF(COUNTIF(Pacientes!$A$2:$A$46,C167)=0,"Código no registrado","OK")))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67">
        <f>IF(B168="","",IF(OR(C168="",E168=""),"Faltan datos",IF(COUNTIF(Pacientes!$A$2:$A$46,C168)=0,"Código no registrado","OK")))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67">
        <f>IF(B169="","",IF(OR(C169="",E169=""),"Faltan datos",IF(COUNTIF(Pacientes!$A$2:$A$46,C169)=0,"Código no registrado","OK")))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67">
        <f>IF(B170="","",IF(OR(C170="",E170=""),"Faltan datos",IF(COUNTIF(Pacientes!$A$2:$A$46,C170)=0,"Código no registrado","OK")))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67">
        <f>IF(B171="","",IF(OR(C171="",E171=""),"Faltan datos",IF(COUNTIF(Pacientes!$A$2:$A$46,C171)=0,"Código no registrado","OK")))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67">
        <f>IF(B172="","",IF(OR(C172="",E172=""),"Faltan datos",IF(COUNTIF(Pacientes!$A$2:$A$46,C172)=0,"Código no registrado","OK")))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67">
        <f>IF(B173="","",IF(OR(C173="",E173=""),"Faltan datos",IF(COUNTIF(Pacientes!$A$2:$A$46,C173)=0,"Código no registrado","OK")))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67">
        <f>IF(B174="","",IF(OR(C174="",E174=""),"Faltan datos",IF(COUNTIF(Pacientes!$A$2:$A$46,C174)=0,"Código no registrado","OK")))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67">
        <f>IF(B175="","",IF(OR(C175="",E175=""),"Faltan datos",IF(COUNTIF(Pacientes!$A$2:$A$46,C175)=0,"Código no registrado","OK")))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67">
        <f>IF(B176="","",IF(OR(C176="",E176=""),"Faltan datos",IF(COUNTIF(Pacientes!$A$2:$A$46,C176)=0,"Código no registrado","OK")))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67">
        <f>IF(B177="","",IF(OR(C177="",E177=""),"Faltan datos",IF(COUNTIF(Pacientes!$A$2:$A$46,C177)=0,"Código no registrado","OK")))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67">
        <f>IF(B178="","",IF(OR(C178="",E178=""),"Faltan datos",IF(COUNTIF(Pacientes!$A$2:$A$46,C178)=0,"Código no registrado","OK")))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67">
        <f>IF(B179="","",IF(OR(C179="",E179=""),"Faltan datos",IF(COUNTIF(Pacientes!$A$2:$A$46,C179)=0,"Código no registrado","OK")))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67">
        <f>IF(B180="","",IF(OR(C180="",E180=""),"Faltan datos",IF(COUNTIF(Pacientes!$A$2:$A$46,C180)=0,"Código no registrado","OK")))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67">
        <f>IF(B181="","",IF(OR(C181="",E181=""),"Faltan datos",IF(COUNTIF(Pacientes!$A$2:$A$46,C181)=0,"Código no registrado","OK")))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67">
        <f>IF(B182="","",IF(OR(C182="",E182=""),"Faltan datos",IF(COUNTIF(Pacientes!$A$2:$A$46,C182)=0,"Código no registrado","OK")))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67">
        <f>IF(B183="","",IF(OR(C183="",E183=""),"Faltan datos",IF(COUNTIF(Pacientes!$A$2:$A$46,C183)=0,"Código no registrado","OK")))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67">
        <f>IF(B184="","",IF(OR(C184="",E184=""),"Faltan datos",IF(COUNTIF(Pacientes!$A$2:$A$46,C184)=0,"Código no registrado","OK")))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67">
        <f>IF(B185="","",IF(OR(C185="",E185=""),"Faltan datos",IF(COUNTIF(Pacientes!$A$2:$A$46,C185)=0,"Código no registrado","OK")))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67">
        <f>IF(B186="","",IF(OR(C186="",E186=""),"Faltan datos",IF(COUNTIF(Pacientes!$A$2:$A$46,C186)=0,"Código no registrado","OK")))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67">
        <f>IF(B187="","",IF(OR(C187="",E187=""),"Faltan datos",IF(COUNTIF(Pacientes!$A$2:$A$46,C187)=0,"Código no registrado","OK")))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67">
        <f>IF(B188="","",IF(OR(C188="",E188=""),"Faltan datos",IF(COUNTIF(Pacientes!$A$2:$A$46,C188)=0,"Código no registrado","OK")))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67">
        <f>IF(B189="","",IF(OR(C189="",E189=""),"Faltan datos",IF(COUNTIF(Pacientes!$A$2:$A$46,C189)=0,"Código no registrado","OK")))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67">
        <f>IF(B190="","",IF(OR(C190="",E190=""),"Faltan datos",IF(COUNTIF(Pacientes!$A$2:$A$46,C190)=0,"Código no registrado","OK")))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67">
        <f>IF(B191="","",IF(OR(C191="",E191=""),"Faltan datos",IF(COUNTIF(Pacientes!$A$2:$A$46,C191)=0,"Código no registrado","OK")))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67">
        <f>IF(B192="","",IF(OR(C192="",E192=""),"Faltan datos",IF(COUNTIF(Pacientes!$A$2:$A$46,C192)=0,"Código no registrado","OK")))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67">
        <f>IF(B193="","",IF(OR(C193="",E193=""),"Faltan datos",IF(COUNTIF(Pacientes!$A$2:$A$46,C193)=0,"Código no registrado","OK")))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67">
        <f>IF(B194="","",IF(OR(C194="",E194=""),"Faltan datos",IF(COUNTIF(Pacientes!$A$2:$A$46,C194)=0,"Código no registrado","OK")))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67">
        <f>IF(B195="","",IF(OR(C195="",E195=""),"Faltan datos",IF(COUNTIF(Pacientes!$A$2:$A$46,C195)=0,"Código no registrado","OK")))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67">
        <f>IF(B196="","",IF(OR(C196="",E196=""),"Faltan datos",IF(COUNTIF(Pacientes!$A$2:$A$46,C196)=0,"Código no registrado","OK")))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67">
        <f>IF(B197="","",IF(OR(C197="",E197=""),"Faltan datos",IF(COUNTIF(Pacientes!$A$2:$A$46,C197)=0,"Código no registrado","OK")))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67">
        <f>IF(B198="","",IF(OR(C198="",E198=""),"Faltan datos",IF(COUNTIF(Pacientes!$A$2:$A$46,C198)=0,"Código no registrado","OK")))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67">
        <f>IF(B199="","",IF(OR(C199="",E199=""),"Faltan datos",IF(COUNTIF(Pacientes!$A$2:$A$46,C199)=0,"Código no registrado","OK")))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67">
        <f>IF(B200="","",IF(OR(C200="",E200=""),"Faltan datos",IF(COUNTIF(Pacientes!$A$2:$A$46,C200)=0,"Código no registrado","OK")))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67">
        <f>IF(B201="","",IF(OR(C201="",E201=""),"Faltan datos",IF(COUNTIF(Pacientes!$A$2:$A$46,C201)=0,"Código no registrado","OK")))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67">
        <f>IF(B202="","",IF(OR(C202="",E202=""),"Faltan datos",IF(COUNTIF(Pacientes!$A$2:$A$46,C202)=0,"Código no registrado","OK")))</f>
        <v/>
      </c>
    </row>
  </sheetData>
  <conditionalFormatting sqref="H3:H202">
    <cfRule type="expression" priority="1" dxfId="0">
      <formula>AND(H3&lt;&gt;"",H3&lt;&gt;"OK")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  <col width="26" customWidth="1" style="27" min="8" max="8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>
        <v>46267</v>
      </c>
      <c r="C3" s="40" t="inlineStr">
        <is>
          <t>SIM-23</t>
        </is>
      </c>
      <c r="D3" s="40" t="inlineStr">
        <is>
          <t>Sí</t>
        </is>
      </c>
      <c r="E3" s="40" t="inlineStr">
        <is>
          <t>Asistió</t>
        </is>
      </c>
      <c r="F3" s="40" t="n"/>
      <c r="G3" s="40" t="inlineStr">
        <is>
          <t>Sí</t>
        </is>
      </c>
      <c r="H3" s="67">
        <f>IF(B3="","",IF(OR(C3="",E3=""),"Faltan datos",IF(COUNTIF(Pacientes!$A$2:$A$46,C3)=0,"Código no registrado","OK")))</f>
        <v/>
      </c>
    </row>
    <row r="4" ht="15" customHeight="1" s="27">
      <c r="A4" s="39">
        <f>IF(B4="","",ROW()-2)</f>
        <v/>
      </c>
      <c r="B4" s="50" t="n">
        <v>46267</v>
      </c>
      <c r="C4" s="40" t="inlineStr">
        <is>
          <t>SIM-30</t>
        </is>
      </c>
      <c r="D4" s="40" t="inlineStr">
        <is>
          <t>Sí</t>
        </is>
      </c>
      <c r="E4" s="40" t="inlineStr">
        <is>
          <t>Asistió</t>
        </is>
      </c>
      <c r="F4" s="40" t="n"/>
      <c r="G4" s="40" t="inlineStr">
        <is>
          <t>Sí</t>
        </is>
      </c>
      <c r="H4" s="67">
        <f>IF(B4="","",IF(OR(C4="",E4=""),"Faltan datos",IF(COUNTIF(Pacientes!$A$2:$A$46,C4)=0,"Código no registrado","OK")))</f>
        <v/>
      </c>
    </row>
    <row r="5" ht="15" customHeight="1" s="27">
      <c r="A5" s="39">
        <f>IF(B5="","",ROW()-2)</f>
        <v/>
      </c>
      <c r="B5" s="50" t="n">
        <v>46267</v>
      </c>
      <c r="C5" s="40" t="inlineStr">
        <is>
          <t>SIM-16</t>
        </is>
      </c>
      <c r="D5" s="40" t="inlineStr">
        <is>
          <t>Sí</t>
        </is>
      </c>
      <c r="E5" s="40" t="inlineStr">
        <is>
          <t>Cancelada</t>
        </is>
      </c>
      <c r="F5" s="40" t="inlineStr">
        <is>
          <t>Aviso previo</t>
        </is>
      </c>
      <c r="G5" s="40" t="inlineStr">
        <is>
          <t>Sí</t>
        </is>
      </c>
      <c r="H5" s="67">
        <f>IF(B5="","",IF(OR(C5="",E5=""),"Faltan datos",IF(COUNTIF(Pacientes!$A$2:$A$46,C5)=0,"Código no registrado","OK")))</f>
        <v/>
      </c>
    </row>
    <row r="6" ht="15" customHeight="1" s="27">
      <c r="A6" s="39">
        <f>IF(B6="","",ROW()-2)</f>
        <v/>
      </c>
      <c r="B6" s="50" t="n">
        <v>46267</v>
      </c>
      <c r="C6" s="40" t="inlineStr">
        <is>
          <t>SIM-30</t>
        </is>
      </c>
      <c r="D6" s="40" t="inlineStr">
        <is>
          <t>Sí</t>
        </is>
      </c>
      <c r="E6" s="40" t="inlineStr">
        <is>
          <t>Asistió</t>
        </is>
      </c>
      <c r="F6" s="40" t="n"/>
      <c r="G6" s="40" t="inlineStr">
        <is>
          <t>Sí</t>
        </is>
      </c>
      <c r="H6" s="67">
        <f>IF(B6="","",IF(OR(C6="",E6=""),"Faltan datos",IF(COUNTIF(Pacientes!$A$2:$A$46,C6)=0,"Código no registrado","OK")))</f>
        <v/>
      </c>
    </row>
    <row r="7" ht="15" customHeight="1" s="27">
      <c r="A7" s="39">
        <f>IF(B7="","",ROW()-2)</f>
        <v/>
      </c>
      <c r="B7" s="50" t="n">
        <v>46267</v>
      </c>
      <c r="C7" s="40" t="inlineStr">
        <is>
          <t>SIM-26</t>
        </is>
      </c>
      <c r="D7" s="40" t="inlineStr">
        <is>
          <t>Sí</t>
        </is>
      </c>
      <c r="E7" s="40" t="inlineStr">
        <is>
          <t>No asistió</t>
        </is>
      </c>
      <c r="F7" s="40" t="inlineStr">
        <is>
          <t>Sin aviso</t>
        </is>
      </c>
      <c r="G7" s="40" t="inlineStr">
        <is>
          <t>Sí</t>
        </is>
      </c>
      <c r="H7" s="67">
        <f>IF(B7="","",IF(OR(C7="",E7=""),"Faltan datos",IF(COUNTIF(Pacientes!$A$2:$A$46,C7)=0,"Código no registrado","OK")))</f>
        <v/>
      </c>
    </row>
    <row r="8" ht="15" customHeight="1" s="27">
      <c r="A8" s="39">
        <f>IF(B8="","",ROW()-2)</f>
        <v/>
      </c>
      <c r="B8" s="50" t="n">
        <v>46267</v>
      </c>
      <c r="C8" s="40" t="inlineStr">
        <is>
          <t>SIM-27</t>
        </is>
      </c>
      <c r="D8" s="40" t="inlineStr">
        <is>
          <t>Sí</t>
        </is>
      </c>
      <c r="E8" s="40" t="inlineStr">
        <is>
          <t>Asistió</t>
        </is>
      </c>
      <c r="F8" s="40" t="n"/>
      <c r="G8" s="40" t="inlineStr">
        <is>
          <t>Sí</t>
        </is>
      </c>
      <c r="H8" s="67">
        <f>IF(B8="","",IF(OR(C8="",E8=""),"Faltan datos",IF(COUNTIF(Pacientes!$A$2:$A$46,C8)=0,"Código no registrado","OK")))</f>
        <v/>
      </c>
    </row>
    <row r="9" ht="15" customHeight="1" s="27">
      <c r="A9" s="39">
        <f>IF(B9="","",ROW()-2)</f>
        <v/>
      </c>
      <c r="B9" s="50" t="n">
        <v>46267</v>
      </c>
      <c r="C9" s="40" t="inlineStr">
        <is>
          <t>SIM-16</t>
        </is>
      </c>
      <c r="D9" s="40" t="inlineStr">
        <is>
          <t>Sí</t>
        </is>
      </c>
      <c r="E9" s="40" t="inlineStr">
        <is>
          <t>Cancelada</t>
        </is>
      </c>
      <c r="F9" s="40" t="inlineStr">
        <is>
          <t>Aviso previo</t>
        </is>
      </c>
      <c r="G9" s="40" t="inlineStr">
        <is>
          <t>Sí</t>
        </is>
      </c>
      <c r="H9" s="67">
        <f>IF(B9="","",IF(OR(C9="",E9=""),"Faltan datos",IF(COUNTIF(Pacientes!$A$2:$A$46,C9)=0,"Código no registrado","OK")))</f>
        <v/>
      </c>
    </row>
    <row r="10" ht="15" customHeight="1" s="27">
      <c r="A10" s="39">
        <f>IF(B10="","",ROW()-2)</f>
        <v/>
      </c>
      <c r="B10" s="50" t="n">
        <v>46267</v>
      </c>
      <c r="C10" s="40" t="inlineStr">
        <is>
          <t>SIM-15</t>
        </is>
      </c>
      <c r="D10" s="40" t="inlineStr">
        <is>
          <t>Sí</t>
        </is>
      </c>
      <c r="E10" s="40" t="inlineStr">
        <is>
          <t>Asistió</t>
        </is>
      </c>
      <c r="F10" s="40" t="n"/>
      <c r="G10" s="40" t="inlineStr">
        <is>
          <t>Sí</t>
        </is>
      </c>
      <c r="H10" s="67">
        <f>IF(B10="","",IF(OR(C10="",E10=""),"Faltan datos",IF(COUNTIF(Pacientes!$A$2:$A$46,C10)=0,"Código no registrado","OK")))</f>
        <v/>
      </c>
    </row>
    <row r="11" ht="15" customHeight="1" s="27">
      <c r="A11" s="39">
        <f>IF(B11="","",ROW()-2)</f>
        <v/>
      </c>
      <c r="B11" s="50" t="n">
        <v>46267</v>
      </c>
      <c r="C11" s="40" t="inlineStr">
        <is>
          <t>SIM-23</t>
        </is>
      </c>
      <c r="D11" s="40" t="inlineStr">
        <is>
          <t>Sí</t>
        </is>
      </c>
      <c r="E11" s="40" t="inlineStr">
        <is>
          <t>Asistió</t>
        </is>
      </c>
      <c r="F11" s="40" t="n"/>
      <c r="G11" s="40" t="inlineStr">
        <is>
          <t>No</t>
        </is>
      </c>
      <c r="H11" s="67">
        <f>IF(B11="","",IF(OR(C11="",E11=""),"Faltan datos",IF(COUNTIF(Pacientes!$A$2:$A$46,C11)=0,"Código no registrado","OK")))</f>
        <v/>
      </c>
    </row>
    <row r="12" ht="15" customHeight="1" s="27">
      <c r="A12" s="39">
        <f>IF(B12="","",ROW()-2)</f>
        <v/>
      </c>
      <c r="B12" s="50" t="n">
        <v>46267</v>
      </c>
      <c r="C12" s="40" t="inlineStr">
        <is>
          <t>SIM-02</t>
        </is>
      </c>
      <c r="D12" s="40" t="inlineStr">
        <is>
          <t>Sí</t>
        </is>
      </c>
      <c r="E12" s="40" t="inlineStr">
        <is>
          <t>Asistió</t>
        </is>
      </c>
      <c r="F12" s="40" t="n"/>
      <c r="G12" s="40" t="inlineStr">
        <is>
          <t>Sí</t>
        </is>
      </c>
      <c r="H12" s="67">
        <f>IF(B12="","",IF(OR(C12="",E12=""),"Faltan datos",IF(COUNTIF(Pacientes!$A$2:$A$46,C12)=0,"Código no registrado","OK")))</f>
        <v/>
      </c>
    </row>
    <row r="13" ht="15" customHeight="1" s="27">
      <c r="A13" s="39">
        <f>IF(B13="","",ROW()-2)</f>
        <v/>
      </c>
      <c r="B13" s="50" t="n">
        <v>46267</v>
      </c>
      <c r="C13" s="40" t="inlineStr">
        <is>
          <t>SIM-21</t>
        </is>
      </c>
      <c r="D13" s="40" t="inlineStr">
        <is>
          <t>Sí</t>
        </is>
      </c>
      <c r="E13" s="40" t="inlineStr">
        <is>
          <t>Asistió</t>
        </is>
      </c>
      <c r="F13" s="40" t="n"/>
      <c r="G13" s="40" t="inlineStr">
        <is>
          <t>No</t>
        </is>
      </c>
      <c r="H13" s="67">
        <f>IF(B13="","",IF(OR(C13="",E13=""),"Faltan datos",IF(COUNTIF(Pacientes!$A$2:$A$46,C13)=0,"Código no registrado","OK")))</f>
        <v/>
      </c>
    </row>
    <row r="14" ht="15" customHeight="1" s="27">
      <c r="A14" s="39">
        <f>IF(B14="","",ROW()-2)</f>
        <v/>
      </c>
      <c r="B14" s="50" t="n">
        <v>46267</v>
      </c>
      <c r="C14" s="40" t="inlineStr">
        <is>
          <t>SIM-16</t>
        </is>
      </c>
      <c r="D14" s="40" t="inlineStr">
        <is>
          <t>Sí</t>
        </is>
      </c>
      <c r="E14" s="40" t="inlineStr">
        <is>
          <t>Asistió</t>
        </is>
      </c>
      <c r="F14" s="40" t="n"/>
      <c r="G14" s="40" t="inlineStr">
        <is>
          <t>Sí</t>
        </is>
      </c>
      <c r="H14" s="67">
        <f>IF(B14="","",IF(OR(C14="",E14=""),"Faltan datos",IF(COUNTIF(Pacientes!$A$2:$A$46,C14)=0,"Código no registrado","OK")))</f>
        <v/>
      </c>
    </row>
    <row r="15" ht="15" customHeight="1" s="27">
      <c r="A15" s="39">
        <f>IF(B15="","",ROW()-2)</f>
        <v/>
      </c>
      <c r="B15" s="50" t="n">
        <v>46269</v>
      </c>
      <c r="C15" s="40" t="inlineStr">
        <is>
          <t>SIM-09</t>
        </is>
      </c>
      <c r="D15" s="40" t="inlineStr">
        <is>
          <t>Sí</t>
        </is>
      </c>
      <c r="E15" s="40" t="inlineStr">
        <is>
          <t>Asistió</t>
        </is>
      </c>
      <c r="F15" s="40" t="n"/>
      <c r="G15" s="40" t="inlineStr">
        <is>
          <t>Sí</t>
        </is>
      </c>
      <c r="H15" s="67">
        <f>IF(B15="","",IF(OR(C15="",E15=""),"Faltan datos",IF(COUNTIF(Pacientes!$A$2:$A$46,C15)=0,"Código no registrado","OK")))</f>
        <v/>
      </c>
    </row>
    <row r="16" ht="15" customHeight="1" s="27">
      <c r="A16" s="39">
        <f>IF(B16="","",ROW()-2)</f>
        <v/>
      </c>
      <c r="B16" s="50" t="n">
        <v>46269</v>
      </c>
      <c r="C16" s="40" t="inlineStr">
        <is>
          <t>SIM-16</t>
        </is>
      </c>
      <c r="D16" s="40" t="inlineStr">
        <is>
          <t>Sí</t>
        </is>
      </c>
      <c r="E16" s="40" t="inlineStr">
        <is>
          <t>Asistió</t>
        </is>
      </c>
      <c r="F16" s="40" t="n"/>
      <c r="G16" s="40" t="inlineStr">
        <is>
          <t>Sí</t>
        </is>
      </c>
      <c r="H16" s="67">
        <f>IF(B16="","",IF(OR(C16="",E16=""),"Faltan datos",IF(COUNTIF(Pacientes!$A$2:$A$46,C16)=0,"Código no registrado","OK")))</f>
        <v/>
      </c>
    </row>
    <row r="17" ht="15" customHeight="1" s="27">
      <c r="A17" s="39">
        <f>IF(B17="","",ROW()-2)</f>
        <v/>
      </c>
      <c r="B17" s="50" t="n">
        <v>46269</v>
      </c>
      <c r="C17" s="40" t="inlineStr">
        <is>
          <t>SIM-16</t>
        </is>
      </c>
      <c r="D17" s="40" t="inlineStr">
        <is>
          <t>Sí</t>
        </is>
      </c>
      <c r="E17" s="40" t="inlineStr">
        <is>
          <t>Asistió</t>
        </is>
      </c>
      <c r="F17" s="40" t="n"/>
      <c r="G17" s="40" t="inlineStr">
        <is>
          <t>Sí</t>
        </is>
      </c>
      <c r="H17" s="67">
        <f>IF(B17="","",IF(OR(C17="",E17=""),"Faltan datos",IF(COUNTIF(Pacientes!$A$2:$A$46,C17)=0,"Código no registrado","OK")))</f>
        <v/>
      </c>
    </row>
    <row r="18" ht="15" customHeight="1" s="27">
      <c r="A18" s="39">
        <f>IF(B18="","",ROW()-2)</f>
        <v/>
      </c>
      <c r="B18" s="50" t="n">
        <v>46269</v>
      </c>
      <c r="C18" s="40" t="inlineStr">
        <is>
          <t>SIM-01</t>
        </is>
      </c>
      <c r="D18" s="40" t="inlineStr">
        <is>
          <t>Sí</t>
        </is>
      </c>
      <c r="E18" s="40" t="inlineStr">
        <is>
          <t>Asistió</t>
        </is>
      </c>
      <c r="F18" s="40" t="n"/>
      <c r="G18" s="40" t="inlineStr">
        <is>
          <t>Sí</t>
        </is>
      </c>
      <c r="H18" s="67">
        <f>IF(B18="","",IF(OR(C18="",E18=""),"Faltan datos",IF(COUNTIF(Pacientes!$A$2:$A$46,C18)=0,"Código no registrado","OK")))</f>
        <v/>
      </c>
    </row>
    <row r="19" ht="15" customHeight="1" s="27">
      <c r="A19" s="39">
        <f>IF(B19="","",ROW()-2)</f>
        <v/>
      </c>
      <c r="B19" s="50" t="n">
        <v>46269</v>
      </c>
      <c r="C19" s="40" t="inlineStr">
        <is>
          <t>SIM-27</t>
        </is>
      </c>
      <c r="D19" s="40" t="inlineStr">
        <is>
          <t>Sí</t>
        </is>
      </c>
      <c r="E19" s="40" t="inlineStr">
        <is>
          <t>Asistió</t>
        </is>
      </c>
      <c r="F19" s="40" t="n"/>
      <c r="G19" s="40" t="inlineStr">
        <is>
          <t>Sí</t>
        </is>
      </c>
      <c r="H19" s="67">
        <f>IF(B19="","",IF(OR(C19="",E19=""),"Faltan datos",IF(COUNTIF(Pacientes!$A$2:$A$46,C19)=0,"Código no registrado","OK")))</f>
        <v/>
      </c>
    </row>
    <row r="20" ht="15" customHeight="1" s="27">
      <c r="A20" s="39">
        <f>IF(B20="","",ROW()-2)</f>
        <v/>
      </c>
      <c r="B20" s="50" t="n">
        <v>46269</v>
      </c>
      <c r="C20" s="40" t="inlineStr">
        <is>
          <t>SIM-04</t>
        </is>
      </c>
      <c r="D20" s="40" t="inlineStr">
        <is>
          <t>Sí</t>
        </is>
      </c>
      <c r="E20" s="40" t="inlineStr">
        <is>
          <t>Asistió</t>
        </is>
      </c>
      <c r="F20" s="40" t="n"/>
      <c r="G20" s="40" t="inlineStr">
        <is>
          <t>Sí</t>
        </is>
      </c>
      <c r="H20" s="67">
        <f>IF(B20="","",IF(OR(C20="",E20=""),"Faltan datos",IF(COUNTIF(Pacientes!$A$2:$A$46,C20)=0,"Código no registrado","OK")))</f>
        <v/>
      </c>
    </row>
    <row r="21" ht="15" customHeight="1" s="27">
      <c r="A21" s="39">
        <f>IF(B21="","",ROW()-2)</f>
        <v/>
      </c>
      <c r="B21" s="50" t="n">
        <v>46269</v>
      </c>
      <c r="C21" s="40" t="inlineStr">
        <is>
          <t>SIM-28</t>
        </is>
      </c>
      <c r="D21" s="40" t="inlineStr">
        <is>
          <t>Sí</t>
        </is>
      </c>
      <c r="E21" s="40" t="inlineStr">
        <is>
          <t>Asistió</t>
        </is>
      </c>
      <c r="F21" s="40" t="n"/>
      <c r="G21" s="40" t="inlineStr">
        <is>
          <t>No</t>
        </is>
      </c>
      <c r="H21" s="67">
        <f>IF(B21="","",IF(OR(C21="",E21=""),"Faltan datos",IF(COUNTIF(Pacientes!$A$2:$A$46,C21)=0,"Código no registrado","OK")))</f>
        <v/>
      </c>
    </row>
    <row r="22" ht="15" customHeight="1" s="27">
      <c r="A22" s="39">
        <f>IF(B22="","",ROW()-2)</f>
        <v/>
      </c>
      <c r="B22" s="50" t="n">
        <v>46269</v>
      </c>
      <c r="C22" s="40" t="inlineStr">
        <is>
          <t>SIM-18</t>
        </is>
      </c>
      <c r="D22" s="40" t="inlineStr">
        <is>
          <t>Sí</t>
        </is>
      </c>
      <c r="E22" s="40" t="inlineStr">
        <is>
          <t>Asistió</t>
        </is>
      </c>
      <c r="F22" s="40" t="n"/>
      <c r="G22" s="40" t="inlineStr">
        <is>
          <t>Sí</t>
        </is>
      </c>
      <c r="H22" s="67">
        <f>IF(B22="","",IF(OR(C22="",E22=""),"Faltan datos",IF(COUNTIF(Pacientes!$A$2:$A$46,C22)=0,"Código no registrado","OK")))</f>
        <v/>
      </c>
    </row>
    <row r="23" ht="15" customHeight="1" s="27">
      <c r="A23" s="39">
        <f>IF(B23="","",ROW()-2)</f>
        <v/>
      </c>
      <c r="B23" s="50" t="n">
        <v>46269</v>
      </c>
      <c r="C23" s="40" t="inlineStr">
        <is>
          <t>SIM-07</t>
        </is>
      </c>
      <c r="D23" s="40" t="inlineStr">
        <is>
          <t>Sí</t>
        </is>
      </c>
      <c r="E23" s="40" t="inlineStr">
        <is>
          <t>Asistió</t>
        </is>
      </c>
      <c r="F23" s="40" t="n"/>
      <c r="G23" s="40" t="inlineStr">
        <is>
          <t>Sí</t>
        </is>
      </c>
      <c r="H23" s="67">
        <f>IF(B23="","",IF(OR(C23="",E23=""),"Faltan datos",IF(COUNTIF(Pacientes!$A$2:$A$46,C23)=0,"Código no registrado","OK")))</f>
        <v/>
      </c>
    </row>
    <row r="24" ht="15" customHeight="1" s="27">
      <c r="A24" s="39">
        <f>IF(B24="","",ROW()-2)</f>
        <v/>
      </c>
      <c r="B24" s="50" t="n">
        <v>46269</v>
      </c>
      <c r="C24" s="40" t="inlineStr">
        <is>
          <t>SIM-24</t>
        </is>
      </c>
      <c r="D24" s="40" t="inlineStr">
        <is>
          <t>Sí</t>
        </is>
      </c>
      <c r="E24" s="40" t="inlineStr">
        <is>
          <t>Cancelada</t>
        </is>
      </c>
      <c r="F24" s="40" t="inlineStr">
        <is>
          <t>Aviso previo</t>
        </is>
      </c>
      <c r="G24" s="40" t="inlineStr">
        <is>
          <t>Sí</t>
        </is>
      </c>
      <c r="H24" s="67">
        <f>IF(B24="","",IF(OR(C24="",E24=""),"Faltan datos",IF(COUNTIF(Pacientes!$A$2:$A$46,C24)=0,"Código no registrado","OK")))</f>
        <v/>
      </c>
    </row>
    <row r="25" ht="15" customHeight="1" s="27">
      <c r="A25" s="39">
        <f>IF(B25="","",ROW()-2)</f>
        <v/>
      </c>
      <c r="B25" s="50" t="n">
        <v>46272</v>
      </c>
      <c r="C25" s="40" t="inlineStr">
        <is>
          <t>SIM-16</t>
        </is>
      </c>
      <c r="D25" s="40" t="inlineStr">
        <is>
          <t>Sí</t>
        </is>
      </c>
      <c r="E25" s="40" t="inlineStr">
        <is>
          <t>No asistió</t>
        </is>
      </c>
      <c r="F25" s="40" t="inlineStr">
        <is>
          <t>Sin aviso</t>
        </is>
      </c>
      <c r="G25" s="40" t="inlineStr">
        <is>
          <t>Sí</t>
        </is>
      </c>
      <c r="H25" s="67">
        <f>IF(B25="","",IF(OR(C25="",E25=""),"Faltan datos",IF(COUNTIF(Pacientes!$A$2:$A$46,C25)=0,"Código no registrado","OK")))</f>
        <v/>
      </c>
    </row>
    <row r="26" ht="15" customHeight="1" s="27">
      <c r="A26" s="39">
        <f>IF(B26="","",ROW()-2)</f>
        <v/>
      </c>
      <c r="B26" s="50" t="n">
        <v>46272</v>
      </c>
      <c r="C26" s="40" t="inlineStr">
        <is>
          <t>SIM-02</t>
        </is>
      </c>
      <c r="D26" s="40" t="inlineStr">
        <is>
          <t>Sí</t>
        </is>
      </c>
      <c r="E26" s="40" t="inlineStr">
        <is>
          <t>Asistió</t>
        </is>
      </c>
      <c r="F26" s="40" t="n"/>
      <c r="G26" s="40" t="inlineStr">
        <is>
          <t>Sí</t>
        </is>
      </c>
      <c r="H26" s="67">
        <f>IF(B26="","",IF(OR(C26="",E26=""),"Faltan datos",IF(COUNTIF(Pacientes!$A$2:$A$46,C26)=0,"Código no registrado","OK")))</f>
        <v/>
      </c>
    </row>
    <row r="27" ht="15" customHeight="1" s="27">
      <c r="A27" s="39">
        <f>IF(B27="","",ROW()-2)</f>
        <v/>
      </c>
      <c r="B27" s="50" t="n">
        <v>46272</v>
      </c>
      <c r="C27" s="40" t="inlineStr">
        <is>
          <t>SIM-25</t>
        </is>
      </c>
      <c r="D27" s="40" t="inlineStr">
        <is>
          <t>Sí</t>
        </is>
      </c>
      <c r="E27" s="40" t="inlineStr">
        <is>
          <t>Cancelada</t>
        </is>
      </c>
      <c r="F27" s="40" t="inlineStr">
        <is>
          <t>Aviso previo</t>
        </is>
      </c>
      <c r="G27" s="40" t="inlineStr">
        <is>
          <t>Sí</t>
        </is>
      </c>
      <c r="H27" s="67">
        <f>IF(B27="","",IF(OR(C27="",E27=""),"Faltan datos",IF(COUNTIF(Pacientes!$A$2:$A$46,C27)=0,"Código no registrado","OK")))</f>
        <v/>
      </c>
    </row>
    <row r="28" ht="15" customHeight="1" s="27">
      <c r="A28" s="39">
        <f>IF(B28="","",ROW()-2)</f>
        <v/>
      </c>
      <c r="B28" s="50" t="n">
        <v>46272</v>
      </c>
      <c r="C28" s="40" t="inlineStr">
        <is>
          <t>SIM-07</t>
        </is>
      </c>
      <c r="D28" s="40" t="inlineStr">
        <is>
          <t>Sí</t>
        </is>
      </c>
      <c r="E28" s="40" t="inlineStr">
        <is>
          <t>Asistió</t>
        </is>
      </c>
      <c r="F28" s="40" t="n"/>
      <c r="G28" s="40" t="inlineStr">
        <is>
          <t>Sí</t>
        </is>
      </c>
      <c r="H28" s="67">
        <f>IF(B28="","",IF(OR(C28="",E28=""),"Faltan datos",IF(COUNTIF(Pacientes!$A$2:$A$46,C28)=0,"Código no registrado","OK")))</f>
        <v/>
      </c>
    </row>
    <row r="29" ht="15" customHeight="1" s="27">
      <c r="A29" s="39">
        <f>IF(B29="","",ROW()-2)</f>
        <v/>
      </c>
      <c r="B29" s="50" t="n">
        <v>46272</v>
      </c>
      <c r="C29" s="40" t="inlineStr">
        <is>
          <t>SIM-20</t>
        </is>
      </c>
      <c r="D29" s="40" t="inlineStr">
        <is>
          <t>Sí</t>
        </is>
      </c>
      <c r="E29" s="40" t="inlineStr">
        <is>
          <t>Asistió</t>
        </is>
      </c>
      <c r="F29" s="40" t="n"/>
      <c r="G29" s="40" t="inlineStr">
        <is>
          <t>Sí</t>
        </is>
      </c>
      <c r="H29" s="67">
        <f>IF(B29="","",IF(OR(C29="",E29=""),"Faltan datos",IF(COUNTIF(Pacientes!$A$2:$A$46,C29)=0,"Código no registrado","OK")))</f>
        <v/>
      </c>
    </row>
    <row r="30" ht="15" customHeight="1" s="27">
      <c r="A30" s="39">
        <f>IF(B30="","",ROW()-2)</f>
        <v/>
      </c>
      <c r="B30" s="50" t="n">
        <v>46272</v>
      </c>
      <c r="C30" s="40" t="inlineStr">
        <is>
          <t>SIM-25</t>
        </is>
      </c>
      <c r="D30" s="40" t="inlineStr">
        <is>
          <t>Sí</t>
        </is>
      </c>
      <c r="E30" s="40" t="inlineStr">
        <is>
          <t>Asistió</t>
        </is>
      </c>
      <c r="F30" s="40" t="n"/>
      <c r="G30" s="40" t="inlineStr">
        <is>
          <t>Sí</t>
        </is>
      </c>
      <c r="H30" s="67">
        <f>IF(B30="","",IF(OR(C30="",E30=""),"Faltan datos",IF(COUNTIF(Pacientes!$A$2:$A$46,C30)=0,"Código no registrado","OK")))</f>
        <v/>
      </c>
    </row>
    <row r="31" ht="15" customHeight="1" s="27">
      <c r="A31" s="39">
        <f>IF(B31="","",ROW()-2)</f>
        <v/>
      </c>
      <c r="B31" s="50" t="n">
        <v>46272</v>
      </c>
      <c r="C31" s="40" t="inlineStr">
        <is>
          <t>SIM-26</t>
        </is>
      </c>
      <c r="D31" s="40" t="inlineStr">
        <is>
          <t>Sí</t>
        </is>
      </c>
      <c r="E31" s="40" t="inlineStr">
        <is>
          <t>Asistió</t>
        </is>
      </c>
      <c r="F31" s="40" t="n"/>
      <c r="G31" s="40" t="inlineStr">
        <is>
          <t>Sí</t>
        </is>
      </c>
      <c r="H31" s="67">
        <f>IF(B31="","",IF(OR(C31="",E31=""),"Faltan datos",IF(COUNTIF(Pacientes!$A$2:$A$46,C31)=0,"Código no registrado","OK")))</f>
        <v/>
      </c>
    </row>
    <row r="32" ht="15" customHeight="1" s="27">
      <c r="A32" s="39">
        <f>IF(B32="","",ROW()-2)</f>
        <v/>
      </c>
      <c r="B32" s="50" t="n">
        <v>46272</v>
      </c>
      <c r="C32" s="40" t="inlineStr">
        <is>
          <t>SIM-22</t>
        </is>
      </c>
      <c r="D32" s="40" t="inlineStr">
        <is>
          <t>Sí</t>
        </is>
      </c>
      <c r="E32" s="40" t="inlineStr">
        <is>
          <t>Asistió</t>
        </is>
      </c>
      <c r="F32" s="40" t="n"/>
      <c r="G32" s="40" t="inlineStr">
        <is>
          <t>Sí</t>
        </is>
      </c>
      <c r="H32" s="67">
        <f>IF(B32="","",IF(OR(C32="",E32=""),"Faltan datos",IF(COUNTIF(Pacientes!$A$2:$A$46,C32)=0,"Código no registrado","OK")))</f>
        <v/>
      </c>
    </row>
    <row r="33" ht="15" customHeight="1" s="27">
      <c r="A33" s="39">
        <f>IF(B33="","",ROW()-2)</f>
        <v/>
      </c>
      <c r="B33" s="50" t="n">
        <v>46272</v>
      </c>
      <c r="C33" s="40" t="inlineStr">
        <is>
          <t>SIM-02</t>
        </is>
      </c>
      <c r="D33" s="40" t="inlineStr">
        <is>
          <t>Sí</t>
        </is>
      </c>
      <c r="E33" s="40" t="inlineStr">
        <is>
          <t>No asistió</t>
        </is>
      </c>
      <c r="F33" s="40" t="inlineStr">
        <is>
          <t>Sin aviso</t>
        </is>
      </c>
      <c r="G33" s="40" t="inlineStr">
        <is>
          <t>Sí</t>
        </is>
      </c>
      <c r="H33" s="67">
        <f>IF(B33="","",IF(OR(C33="",E33=""),"Faltan datos",IF(COUNTIF(Pacientes!$A$2:$A$46,C33)=0,"Código no registrado","OK")))</f>
        <v/>
      </c>
    </row>
    <row r="34" ht="15" customHeight="1" s="27">
      <c r="A34" s="39">
        <f>IF(B34="","",ROW()-2)</f>
        <v/>
      </c>
      <c r="B34" s="50" t="n">
        <v>46272</v>
      </c>
      <c r="C34" s="40" t="inlineStr">
        <is>
          <t>SIM-19</t>
        </is>
      </c>
      <c r="D34" s="40" t="inlineStr">
        <is>
          <t>Sí</t>
        </is>
      </c>
      <c r="E34" s="40" t="inlineStr">
        <is>
          <t>Asistió</t>
        </is>
      </c>
      <c r="F34" s="40" t="n"/>
      <c r="G34" s="40" t="inlineStr">
        <is>
          <t>Sí</t>
        </is>
      </c>
      <c r="H34" s="67">
        <f>IF(B34="","",IF(OR(C34="",E34=""),"Faltan datos",IF(COUNTIF(Pacientes!$A$2:$A$46,C34)=0,"Código no registrado","OK")))</f>
        <v/>
      </c>
    </row>
    <row r="35" ht="15" customHeight="1" s="27">
      <c r="A35" s="39">
        <f>IF(B35="","",ROW()-2)</f>
        <v/>
      </c>
      <c r="B35" s="50" t="n">
        <v>46272</v>
      </c>
      <c r="C35" s="40" t="inlineStr">
        <is>
          <t>SIM-22</t>
        </is>
      </c>
      <c r="D35" s="40" t="inlineStr">
        <is>
          <t>Sí</t>
        </is>
      </c>
      <c r="E35" s="40" t="inlineStr">
        <is>
          <t>Asistió</t>
        </is>
      </c>
      <c r="F35" s="40" t="n"/>
      <c r="G35" s="40" t="inlineStr">
        <is>
          <t>Sí</t>
        </is>
      </c>
      <c r="H35" s="67">
        <f>IF(B35="","",IF(OR(C35="",E35=""),"Faltan datos",IF(COUNTIF(Pacientes!$A$2:$A$46,C35)=0,"Código no registrado","OK")))</f>
        <v/>
      </c>
    </row>
    <row r="36" ht="15" customHeight="1" s="27">
      <c r="A36" s="39">
        <f>IF(B36="","",ROW()-2)</f>
        <v/>
      </c>
      <c r="B36" s="50" t="n">
        <v>46274</v>
      </c>
      <c r="C36" s="40" t="inlineStr">
        <is>
          <t>SIM-29</t>
        </is>
      </c>
      <c r="D36" s="40" t="inlineStr">
        <is>
          <t>Sí</t>
        </is>
      </c>
      <c r="E36" s="40" t="inlineStr">
        <is>
          <t>Asistió</t>
        </is>
      </c>
      <c r="F36" s="40" t="n"/>
      <c r="G36" s="40" t="inlineStr">
        <is>
          <t>Sí</t>
        </is>
      </c>
      <c r="H36" s="67">
        <f>IF(B36="","",IF(OR(C36="",E36=""),"Faltan datos",IF(COUNTIF(Pacientes!$A$2:$A$46,C36)=0,"Código no registrado","OK")))</f>
        <v/>
      </c>
    </row>
    <row r="37" ht="15" customHeight="1" s="27">
      <c r="A37" s="39">
        <f>IF(B37="","",ROW()-2)</f>
        <v/>
      </c>
      <c r="B37" s="50" t="n">
        <v>46274</v>
      </c>
      <c r="C37" s="40" t="inlineStr">
        <is>
          <t>SIM-27</t>
        </is>
      </c>
      <c r="D37" s="40" t="inlineStr">
        <is>
          <t>Sí</t>
        </is>
      </c>
      <c r="E37" s="40" t="inlineStr">
        <is>
          <t>Asistió</t>
        </is>
      </c>
      <c r="F37" s="40" t="n"/>
      <c r="G37" s="40" t="inlineStr">
        <is>
          <t>Sí</t>
        </is>
      </c>
      <c r="H37" s="67">
        <f>IF(B37="","",IF(OR(C37="",E37=""),"Faltan datos",IF(COUNTIF(Pacientes!$A$2:$A$46,C37)=0,"Código no registrado","OK")))</f>
        <v/>
      </c>
    </row>
    <row r="38" ht="15" customHeight="1" s="27">
      <c r="A38" s="39">
        <f>IF(B38="","",ROW()-2)</f>
        <v/>
      </c>
      <c r="B38" s="50" t="n">
        <v>46274</v>
      </c>
      <c r="C38" s="40" t="inlineStr">
        <is>
          <t>SIM-27</t>
        </is>
      </c>
      <c r="D38" s="40" t="inlineStr">
        <is>
          <t>Sí</t>
        </is>
      </c>
      <c r="E38" s="40" t="inlineStr">
        <is>
          <t>Reprogramada</t>
        </is>
      </c>
      <c r="F38" s="40" t="inlineStr">
        <is>
          <t>Aviso previo</t>
        </is>
      </c>
      <c r="G38" s="40" t="inlineStr">
        <is>
          <t>Sí</t>
        </is>
      </c>
      <c r="H38" s="67">
        <f>IF(B38="","",IF(OR(C38="",E38=""),"Faltan datos",IF(COUNTIF(Pacientes!$A$2:$A$46,C38)=0,"Código no registrado","OK")))</f>
        <v/>
      </c>
    </row>
    <row r="39" ht="15" customHeight="1" s="27">
      <c r="A39" s="39">
        <f>IF(B39="","",ROW()-2)</f>
        <v/>
      </c>
      <c r="B39" s="50" t="n">
        <v>46274</v>
      </c>
      <c r="C39" s="40" t="inlineStr">
        <is>
          <t>SIM-01</t>
        </is>
      </c>
      <c r="D39" s="40" t="inlineStr">
        <is>
          <t>Sí</t>
        </is>
      </c>
      <c r="E39" s="40" t="inlineStr">
        <is>
          <t>Asistió</t>
        </is>
      </c>
      <c r="F39" s="40" t="n"/>
      <c r="G39" s="40" t="inlineStr">
        <is>
          <t>Sí</t>
        </is>
      </c>
      <c r="H39" s="67">
        <f>IF(B39="","",IF(OR(C39="",E39=""),"Faltan datos",IF(COUNTIF(Pacientes!$A$2:$A$46,C39)=0,"Código no registrado","OK")))</f>
        <v/>
      </c>
    </row>
    <row r="40" ht="15" customHeight="1" s="27">
      <c r="A40" s="39">
        <f>IF(B40="","",ROW()-2)</f>
        <v/>
      </c>
      <c r="B40" s="50" t="n">
        <v>46274</v>
      </c>
      <c r="C40" s="40" t="inlineStr">
        <is>
          <t>SIM-22</t>
        </is>
      </c>
      <c r="D40" s="40" t="inlineStr">
        <is>
          <t>Sí</t>
        </is>
      </c>
      <c r="E40" s="40" t="inlineStr">
        <is>
          <t>Asistió</t>
        </is>
      </c>
      <c r="F40" s="40" t="n"/>
      <c r="G40" s="40" t="inlineStr">
        <is>
          <t>Sí</t>
        </is>
      </c>
      <c r="H40" s="67">
        <f>IF(B40="","",IF(OR(C40="",E40=""),"Faltan datos",IF(COUNTIF(Pacientes!$A$2:$A$46,C40)=0,"Código no registrado","OK")))</f>
        <v/>
      </c>
    </row>
    <row r="41" ht="15" customHeight="1" s="27">
      <c r="A41" s="39">
        <f>IF(B41="","",ROW()-2)</f>
        <v/>
      </c>
      <c r="B41" s="50" t="n">
        <v>46274</v>
      </c>
      <c r="C41" s="40" t="inlineStr">
        <is>
          <t>SIM-10</t>
        </is>
      </c>
      <c r="D41" s="40" t="inlineStr">
        <is>
          <t>Sí</t>
        </is>
      </c>
      <c r="E41" s="40" t="inlineStr">
        <is>
          <t>Asistió</t>
        </is>
      </c>
      <c r="F41" s="40" t="n"/>
      <c r="G41" s="40" t="inlineStr">
        <is>
          <t>Sí</t>
        </is>
      </c>
      <c r="H41" s="67">
        <f>IF(B41="","",IF(OR(C41="",E41=""),"Faltan datos",IF(COUNTIF(Pacientes!$A$2:$A$46,C41)=0,"Código no registrado","OK")))</f>
        <v/>
      </c>
    </row>
    <row r="42" ht="15" customHeight="1" s="27">
      <c r="A42" s="39">
        <f>IF(B42="","",ROW()-2)</f>
        <v/>
      </c>
      <c r="B42" s="50" t="n">
        <v>46274</v>
      </c>
      <c r="C42" s="40" t="inlineStr">
        <is>
          <t>SIM-07</t>
        </is>
      </c>
      <c r="D42" s="40" t="inlineStr">
        <is>
          <t>Sí</t>
        </is>
      </c>
      <c r="E42" s="40" t="inlineStr">
        <is>
          <t>Asistió</t>
        </is>
      </c>
      <c r="F42" s="40" t="n"/>
      <c r="G42" s="40" t="inlineStr">
        <is>
          <t>Sí</t>
        </is>
      </c>
      <c r="H42" s="67">
        <f>IF(B42="","",IF(OR(C42="",E42=""),"Faltan datos",IF(COUNTIF(Pacientes!$A$2:$A$46,C42)=0,"Código no registrado","OK")))</f>
        <v/>
      </c>
    </row>
    <row r="43" ht="15" customHeight="1" s="27">
      <c r="A43" s="39">
        <f>IF(B43="","",ROW()-2)</f>
        <v/>
      </c>
      <c r="B43" s="50" t="n">
        <v>46274</v>
      </c>
      <c r="C43" s="40" t="inlineStr">
        <is>
          <t>SIM-22</t>
        </is>
      </c>
      <c r="D43" s="40" t="inlineStr">
        <is>
          <t>Sí</t>
        </is>
      </c>
      <c r="E43" s="40" t="inlineStr">
        <is>
          <t>Cancelada</t>
        </is>
      </c>
      <c r="F43" s="40" t="inlineStr">
        <is>
          <t>Aviso previo</t>
        </is>
      </c>
      <c r="G43" s="40" t="inlineStr">
        <is>
          <t>Sí</t>
        </is>
      </c>
      <c r="H43" s="67">
        <f>IF(B43="","",IF(OR(C43="",E43=""),"Faltan datos",IF(COUNTIF(Pacientes!$A$2:$A$46,C43)=0,"Código no registrado","OK")))</f>
        <v/>
      </c>
    </row>
    <row r="44" ht="15" customHeight="1" s="27">
      <c r="A44" s="39">
        <f>IF(B44="","",ROW()-2)</f>
        <v/>
      </c>
      <c r="B44" s="50" t="n">
        <v>46276</v>
      </c>
      <c r="C44" s="40" t="inlineStr">
        <is>
          <t>SIM-03</t>
        </is>
      </c>
      <c r="D44" s="40" t="inlineStr">
        <is>
          <t>Sí</t>
        </is>
      </c>
      <c r="E44" s="40" t="inlineStr">
        <is>
          <t>Asistió</t>
        </is>
      </c>
      <c r="F44" s="40" t="n"/>
      <c r="G44" s="40" t="inlineStr">
        <is>
          <t>Sí</t>
        </is>
      </c>
      <c r="H44" s="67">
        <f>IF(B44="","",IF(OR(C44="",E44=""),"Faltan datos",IF(COUNTIF(Pacientes!$A$2:$A$46,C44)=0,"Código no registrado","OK")))</f>
        <v/>
      </c>
    </row>
    <row r="45" ht="15" customHeight="1" s="27">
      <c r="A45" s="39">
        <f>IF(B45="","",ROW()-2)</f>
        <v/>
      </c>
      <c r="B45" s="50" t="n">
        <v>46276</v>
      </c>
      <c r="C45" s="40" t="inlineStr">
        <is>
          <t>SIM-25</t>
        </is>
      </c>
      <c r="D45" s="40" t="inlineStr">
        <is>
          <t>Sí</t>
        </is>
      </c>
      <c r="E45" s="40" t="inlineStr">
        <is>
          <t>Asistió</t>
        </is>
      </c>
      <c r="F45" s="40" t="n"/>
      <c r="G45" s="40" t="inlineStr">
        <is>
          <t>Sí</t>
        </is>
      </c>
      <c r="H45" s="67">
        <f>IF(B45="","",IF(OR(C45="",E45=""),"Faltan datos",IF(COUNTIF(Pacientes!$A$2:$A$46,C45)=0,"Código no registrado","OK")))</f>
        <v/>
      </c>
    </row>
    <row r="46" ht="15" customHeight="1" s="27">
      <c r="A46" s="39">
        <f>IF(B46="","",ROW()-2)</f>
        <v/>
      </c>
      <c r="B46" s="50" t="n">
        <v>46276</v>
      </c>
      <c r="C46" s="40" t="inlineStr">
        <is>
          <t>SIM-08</t>
        </is>
      </c>
      <c r="D46" s="40" t="inlineStr">
        <is>
          <t>Sí</t>
        </is>
      </c>
      <c r="E46" s="40" t="inlineStr">
        <is>
          <t>Cancelada</t>
        </is>
      </c>
      <c r="F46" s="40" t="inlineStr">
        <is>
          <t>Aviso previo</t>
        </is>
      </c>
      <c r="G46" s="40" t="inlineStr">
        <is>
          <t>Sí</t>
        </is>
      </c>
      <c r="H46" s="67">
        <f>IF(B46="","",IF(OR(C46="",E46=""),"Faltan datos",IF(COUNTIF(Pacientes!$A$2:$A$46,C46)=0,"Código no registrado","OK")))</f>
        <v/>
      </c>
    </row>
    <row r="47" ht="15" customHeight="1" s="27">
      <c r="A47" s="39">
        <f>IF(B47="","",ROW()-2)</f>
        <v/>
      </c>
      <c r="B47" s="50" t="n">
        <v>46276</v>
      </c>
      <c r="C47" s="40" t="inlineStr">
        <is>
          <t>SIM-07</t>
        </is>
      </c>
      <c r="D47" s="40" t="inlineStr">
        <is>
          <t>Sí</t>
        </is>
      </c>
      <c r="E47" s="40" t="inlineStr">
        <is>
          <t>Cancelada</t>
        </is>
      </c>
      <c r="F47" s="40" t="inlineStr">
        <is>
          <t>Aviso previo</t>
        </is>
      </c>
      <c r="G47" s="40" t="inlineStr">
        <is>
          <t>No</t>
        </is>
      </c>
      <c r="H47" s="67">
        <f>IF(B47="","",IF(OR(C47="",E47=""),"Faltan datos",IF(COUNTIF(Pacientes!$A$2:$A$46,C47)=0,"Código no registrado","OK")))</f>
        <v/>
      </c>
    </row>
    <row r="48" ht="15" customHeight="1" s="27">
      <c r="A48" s="39">
        <f>IF(B48="","",ROW()-2)</f>
        <v/>
      </c>
      <c r="B48" s="50" t="n">
        <v>46276</v>
      </c>
      <c r="C48" s="40" t="inlineStr">
        <is>
          <t>SIM-21</t>
        </is>
      </c>
      <c r="D48" s="40" t="inlineStr">
        <is>
          <t>Sí</t>
        </is>
      </c>
      <c r="E48" s="40" t="inlineStr">
        <is>
          <t>Cancelada</t>
        </is>
      </c>
      <c r="F48" s="40" t="inlineStr">
        <is>
          <t>Aviso previo</t>
        </is>
      </c>
      <c r="G48" s="40" t="inlineStr">
        <is>
          <t>Sí</t>
        </is>
      </c>
      <c r="H48" s="67">
        <f>IF(B48="","",IF(OR(C48="",E48=""),"Faltan datos",IF(COUNTIF(Pacientes!$A$2:$A$46,C48)=0,"Código no registrado","OK")))</f>
        <v/>
      </c>
    </row>
    <row r="49" ht="15" customHeight="1" s="27">
      <c r="A49" s="39">
        <f>IF(B49="","",ROW()-2)</f>
        <v/>
      </c>
      <c r="B49" s="50" t="n">
        <v>46276</v>
      </c>
      <c r="C49" s="40" t="inlineStr">
        <is>
          <t>SIM-16</t>
        </is>
      </c>
      <c r="D49" s="40" t="inlineStr">
        <is>
          <t>Sí</t>
        </is>
      </c>
      <c r="E49" s="40" t="inlineStr">
        <is>
          <t>Asistió</t>
        </is>
      </c>
      <c r="F49" s="40" t="n"/>
      <c r="G49" s="40" t="inlineStr">
        <is>
          <t>Sí</t>
        </is>
      </c>
      <c r="H49" s="67">
        <f>IF(B49="","",IF(OR(C49="",E49=""),"Faltan datos",IF(COUNTIF(Pacientes!$A$2:$A$46,C49)=0,"Código no registrado","OK")))</f>
        <v/>
      </c>
    </row>
    <row r="50" ht="15" customHeight="1" s="27">
      <c r="A50" s="39">
        <f>IF(B50="","",ROW()-2)</f>
        <v/>
      </c>
      <c r="B50" s="50" t="n">
        <v>46276</v>
      </c>
      <c r="C50" s="40" t="inlineStr">
        <is>
          <t>SIM-26</t>
        </is>
      </c>
      <c r="D50" s="40" t="inlineStr">
        <is>
          <t>Sí</t>
        </is>
      </c>
      <c r="E50" s="40" t="inlineStr">
        <is>
          <t>Reprogramada</t>
        </is>
      </c>
      <c r="F50" s="40" t="inlineStr">
        <is>
          <t>Aviso previo</t>
        </is>
      </c>
      <c r="G50" s="40" t="inlineStr">
        <is>
          <t>Sí</t>
        </is>
      </c>
      <c r="H50" s="67">
        <f>IF(B50="","",IF(OR(C50="",E50=""),"Faltan datos",IF(COUNTIF(Pacientes!$A$2:$A$46,C50)=0,"Código no registrado","OK")))</f>
        <v/>
      </c>
    </row>
    <row r="51" ht="15" customHeight="1" s="27">
      <c r="A51" s="39">
        <f>IF(B51="","",ROW()-2)</f>
        <v/>
      </c>
      <c r="B51" s="50" t="n">
        <v>46276</v>
      </c>
      <c r="C51" s="40" t="inlineStr">
        <is>
          <t>SIM-01</t>
        </is>
      </c>
      <c r="D51" s="40" t="inlineStr">
        <is>
          <t>Sí</t>
        </is>
      </c>
      <c r="E51" s="40" t="inlineStr">
        <is>
          <t>Cancelada</t>
        </is>
      </c>
      <c r="F51" s="40" t="inlineStr">
        <is>
          <t>Aviso previo</t>
        </is>
      </c>
      <c r="G51" s="40" t="inlineStr">
        <is>
          <t>No</t>
        </is>
      </c>
      <c r="H51" s="67">
        <f>IF(B51="","",IF(OR(C51="",E51=""),"Faltan datos",IF(COUNTIF(Pacientes!$A$2:$A$46,C51)=0,"Código no registrado","OK")))</f>
        <v/>
      </c>
    </row>
    <row r="52" ht="15" customHeight="1" s="27">
      <c r="A52" s="39">
        <f>IF(B52="","",ROW()-2)</f>
        <v/>
      </c>
      <c r="B52" s="50" t="n">
        <v>46276</v>
      </c>
      <c r="C52" s="40" t="inlineStr">
        <is>
          <t>SIM-26</t>
        </is>
      </c>
      <c r="D52" s="40" t="inlineStr">
        <is>
          <t>Sí</t>
        </is>
      </c>
      <c r="E52" s="40" t="inlineStr">
        <is>
          <t>Asistió</t>
        </is>
      </c>
      <c r="F52" s="40" t="n"/>
      <c r="G52" s="40" t="inlineStr">
        <is>
          <t>Sí</t>
        </is>
      </c>
      <c r="H52" s="67">
        <f>IF(B52="","",IF(OR(C52="",E52=""),"Faltan datos",IF(COUNTIF(Pacientes!$A$2:$A$46,C52)=0,"Código no registrado","OK")))</f>
        <v/>
      </c>
    </row>
    <row r="53" ht="15" customHeight="1" s="27">
      <c r="A53" s="39">
        <f>IF(B53="","",ROW()-2)</f>
        <v/>
      </c>
      <c r="B53" s="50" t="n">
        <v>46279</v>
      </c>
      <c r="C53" s="40" t="inlineStr">
        <is>
          <t>SIM-06</t>
        </is>
      </c>
      <c r="D53" s="40" t="inlineStr">
        <is>
          <t>Sí</t>
        </is>
      </c>
      <c r="E53" s="40" t="inlineStr">
        <is>
          <t>No asistió</t>
        </is>
      </c>
      <c r="F53" s="40" t="inlineStr">
        <is>
          <t>Sin aviso</t>
        </is>
      </c>
      <c r="G53" s="40" t="inlineStr">
        <is>
          <t>Sí</t>
        </is>
      </c>
      <c r="H53" s="67">
        <f>IF(B53="","",IF(OR(C53="",E53=""),"Faltan datos",IF(COUNTIF(Pacientes!$A$2:$A$46,C53)=0,"Código no registrado","OK")))</f>
        <v/>
      </c>
    </row>
    <row r="54" ht="15" customHeight="1" s="27">
      <c r="A54" s="39">
        <f>IF(B54="","",ROW()-2)</f>
        <v/>
      </c>
      <c r="B54" s="50" t="n">
        <v>46279</v>
      </c>
      <c r="C54" s="40" t="inlineStr">
        <is>
          <t>SIM-18</t>
        </is>
      </c>
      <c r="D54" s="40" t="inlineStr">
        <is>
          <t>Sí</t>
        </is>
      </c>
      <c r="E54" s="40" t="inlineStr">
        <is>
          <t>Asistió</t>
        </is>
      </c>
      <c r="F54" s="40" t="n"/>
      <c r="G54" s="40" t="inlineStr">
        <is>
          <t>Sí</t>
        </is>
      </c>
      <c r="H54" s="67">
        <f>IF(B54="","",IF(OR(C54="",E54=""),"Faltan datos",IF(COUNTIF(Pacientes!$A$2:$A$46,C54)=0,"Código no registrado","OK")))</f>
        <v/>
      </c>
    </row>
    <row r="55" ht="15" customHeight="1" s="27">
      <c r="A55" s="39">
        <f>IF(B55="","",ROW()-2)</f>
        <v/>
      </c>
      <c r="B55" s="50" t="n">
        <v>46279</v>
      </c>
      <c r="C55" s="40" t="inlineStr">
        <is>
          <t>SIM-22</t>
        </is>
      </c>
      <c r="D55" s="40" t="inlineStr">
        <is>
          <t>Sí</t>
        </is>
      </c>
      <c r="E55" s="40" t="inlineStr">
        <is>
          <t>Asistió</t>
        </is>
      </c>
      <c r="F55" s="40" t="n"/>
      <c r="G55" s="40" t="inlineStr">
        <is>
          <t>Sí</t>
        </is>
      </c>
      <c r="H55" s="67">
        <f>IF(B55="","",IF(OR(C55="",E55=""),"Faltan datos",IF(COUNTIF(Pacientes!$A$2:$A$46,C55)=0,"Código no registrado","OK")))</f>
        <v/>
      </c>
    </row>
    <row r="56" ht="15" customHeight="1" s="27">
      <c r="A56" s="39">
        <f>IF(B56="","",ROW()-2)</f>
        <v/>
      </c>
      <c r="B56" s="50" t="n">
        <v>46279</v>
      </c>
      <c r="C56" s="40" t="inlineStr">
        <is>
          <t>SIM-03</t>
        </is>
      </c>
      <c r="D56" s="40" t="inlineStr">
        <is>
          <t>Sí</t>
        </is>
      </c>
      <c r="E56" s="40" t="inlineStr">
        <is>
          <t>Asistió</t>
        </is>
      </c>
      <c r="F56" s="40" t="n"/>
      <c r="G56" s="40" t="inlineStr">
        <is>
          <t>Sí</t>
        </is>
      </c>
      <c r="H56" s="67">
        <f>IF(B56="","",IF(OR(C56="",E56=""),"Faltan datos",IF(COUNTIF(Pacientes!$A$2:$A$46,C56)=0,"Código no registrado","OK")))</f>
        <v/>
      </c>
    </row>
    <row r="57" ht="15" customHeight="1" s="27">
      <c r="A57" s="39">
        <f>IF(B57="","",ROW()-2)</f>
        <v/>
      </c>
      <c r="B57" s="50" t="n">
        <v>46279</v>
      </c>
      <c r="C57" s="40" t="inlineStr">
        <is>
          <t>SIM-20</t>
        </is>
      </c>
      <c r="D57" s="40" t="inlineStr">
        <is>
          <t>Sí</t>
        </is>
      </c>
      <c r="E57" s="40" t="inlineStr">
        <is>
          <t>No asistió</t>
        </is>
      </c>
      <c r="F57" s="40" t="inlineStr">
        <is>
          <t>Sin aviso</t>
        </is>
      </c>
      <c r="G57" s="40" t="inlineStr">
        <is>
          <t>Sí</t>
        </is>
      </c>
      <c r="H57" s="67">
        <f>IF(B57="","",IF(OR(C57="",E57=""),"Faltan datos",IF(COUNTIF(Pacientes!$A$2:$A$46,C57)=0,"Código no registrado","OK")))</f>
        <v/>
      </c>
    </row>
    <row r="58" ht="15" customHeight="1" s="27">
      <c r="A58" s="39">
        <f>IF(B58="","",ROW()-2)</f>
        <v/>
      </c>
      <c r="B58" s="50" t="n">
        <v>46279</v>
      </c>
      <c r="C58" s="40" t="inlineStr">
        <is>
          <t>SIM-18</t>
        </is>
      </c>
      <c r="D58" s="40" t="inlineStr">
        <is>
          <t>Sí</t>
        </is>
      </c>
      <c r="E58" s="40" t="inlineStr">
        <is>
          <t>No asistió</t>
        </is>
      </c>
      <c r="F58" s="40" t="inlineStr">
        <is>
          <t>Sin aviso</t>
        </is>
      </c>
      <c r="G58" s="40" t="inlineStr">
        <is>
          <t>Sí</t>
        </is>
      </c>
      <c r="H58" s="67">
        <f>IF(B58="","",IF(OR(C58="",E58=""),"Faltan datos",IF(COUNTIF(Pacientes!$A$2:$A$46,C58)=0,"Código no registrado","OK")))</f>
        <v/>
      </c>
    </row>
    <row r="59" ht="15" customHeight="1" s="27">
      <c r="A59" s="39">
        <f>IF(B59="","",ROW()-2)</f>
        <v/>
      </c>
      <c r="B59" s="50" t="n">
        <v>46279</v>
      </c>
      <c r="C59" s="40" t="inlineStr">
        <is>
          <t>SIM-21</t>
        </is>
      </c>
      <c r="D59" s="40" t="inlineStr">
        <is>
          <t>Sí</t>
        </is>
      </c>
      <c r="E59" s="40" t="inlineStr">
        <is>
          <t>Asistió</t>
        </is>
      </c>
      <c r="F59" s="40" t="n"/>
      <c r="G59" s="40" t="inlineStr">
        <is>
          <t>Sí</t>
        </is>
      </c>
      <c r="H59" s="67">
        <f>IF(B59="","",IF(OR(C59="",E59=""),"Faltan datos",IF(COUNTIF(Pacientes!$A$2:$A$46,C59)=0,"Código no registrado","OK")))</f>
        <v/>
      </c>
    </row>
    <row r="60" ht="15" customHeight="1" s="27">
      <c r="A60" s="39">
        <f>IF(B60="","",ROW()-2)</f>
        <v/>
      </c>
      <c r="B60" s="50" t="n">
        <v>46279</v>
      </c>
      <c r="C60" s="40" t="inlineStr">
        <is>
          <t>SIM-19</t>
        </is>
      </c>
      <c r="D60" s="40" t="inlineStr">
        <is>
          <t>Sí</t>
        </is>
      </c>
      <c r="E60" s="40" t="inlineStr">
        <is>
          <t>Asistió</t>
        </is>
      </c>
      <c r="F60" s="40" t="n"/>
      <c r="G60" s="40" t="inlineStr">
        <is>
          <t>Sí</t>
        </is>
      </c>
      <c r="H60" s="67">
        <f>IF(B60="","",IF(OR(C60="",E60=""),"Faltan datos",IF(COUNTIF(Pacientes!$A$2:$A$46,C60)=0,"Código no registrado","OK")))</f>
        <v/>
      </c>
    </row>
    <row r="61" ht="15" customHeight="1" s="27">
      <c r="A61" s="39">
        <f>IF(B61="","",ROW()-2)</f>
        <v/>
      </c>
      <c r="B61" s="50" t="n">
        <v>46279</v>
      </c>
      <c r="C61" s="40" t="inlineStr">
        <is>
          <t>SIM-20</t>
        </is>
      </c>
      <c r="D61" s="40" t="inlineStr">
        <is>
          <t>Sí</t>
        </is>
      </c>
      <c r="E61" s="40" t="inlineStr">
        <is>
          <t>No asistió</t>
        </is>
      </c>
      <c r="F61" s="40" t="inlineStr">
        <is>
          <t>Sin aviso</t>
        </is>
      </c>
      <c r="G61" s="40" t="inlineStr">
        <is>
          <t>Sí</t>
        </is>
      </c>
      <c r="H61" s="67">
        <f>IF(B61="","",IF(OR(C61="",E61=""),"Faltan datos",IF(COUNTIF(Pacientes!$A$2:$A$46,C61)=0,"Código no registrado","OK")))</f>
        <v/>
      </c>
    </row>
    <row r="62" ht="15" customHeight="1" s="27">
      <c r="A62" s="39">
        <f>IF(B62="","",ROW()-2)</f>
        <v/>
      </c>
      <c r="B62" s="50" t="n">
        <v>46279</v>
      </c>
      <c r="C62" s="40" t="inlineStr">
        <is>
          <t>SIM-13</t>
        </is>
      </c>
      <c r="D62" s="40" t="inlineStr">
        <is>
          <t>Sí</t>
        </is>
      </c>
      <c r="E62" s="40" t="inlineStr">
        <is>
          <t>No asistió</t>
        </is>
      </c>
      <c r="F62" s="40" t="inlineStr">
        <is>
          <t>Sin aviso</t>
        </is>
      </c>
      <c r="G62" s="40" t="inlineStr">
        <is>
          <t>Sí</t>
        </is>
      </c>
      <c r="H62" s="67">
        <f>IF(B62="","",IF(OR(C62="",E62=""),"Faltan datos",IF(COUNTIF(Pacientes!$A$2:$A$46,C62)=0,"Código no registrado","OK")))</f>
        <v/>
      </c>
    </row>
    <row r="63" ht="15" customHeight="1" s="27">
      <c r="A63" s="39">
        <f>IF(B63="","",ROW()-2)</f>
        <v/>
      </c>
      <c r="B63" s="50" t="n">
        <v>46279</v>
      </c>
      <c r="C63" s="40" t="inlineStr">
        <is>
          <t>SIM-29</t>
        </is>
      </c>
      <c r="D63" s="40" t="inlineStr">
        <is>
          <t>Sí</t>
        </is>
      </c>
      <c r="E63" s="40" t="inlineStr">
        <is>
          <t>Asistió</t>
        </is>
      </c>
      <c r="F63" s="40" t="n"/>
      <c r="G63" s="40" t="inlineStr">
        <is>
          <t>Sí</t>
        </is>
      </c>
      <c r="H63" s="67">
        <f>IF(B63="","",IF(OR(C63="",E63=""),"Faltan datos",IF(COUNTIF(Pacientes!$A$2:$A$46,C63)=0,"Código no registrado","OK")))</f>
        <v/>
      </c>
    </row>
    <row r="64" ht="15" customHeight="1" s="27">
      <c r="A64" s="39">
        <f>IF(B64="","",ROW()-2)</f>
        <v/>
      </c>
      <c r="B64" s="50" t="n">
        <v>46279</v>
      </c>
      <c r="C64" s="40" t="inlineStr">
        <is>
          <t>SIM-22</t>
        </is>
      </c>
      <c r="D64" s="40" t="inlineStr">
        <is>
          <t>Sí</t>
        </is>
      </c>
      <c r="E64" s="40" t="inlineStr">
        <is>
          <t>Asistió</t>
        </is>
      </c>
      <c r="F64" s="40" t="n"/>
      <c r="G64" s="40" t="inlineStr">
        <is>
          <t>Sí</t>
        </is>
      </c>
      <c r="H64" s="67">
        <f>IF(B64="","",IF(OR(C64="",E64=""),"Faltan datos",IF(COUNTIF(Pacientes!$A$2:$A$46,C64)=0,"Código no registrado","OK")))</f>
        <v/>
      </c>
    </row>
    <row r="65" ht="15" customHeight="1" s="27">
      <c r="A65" s="39">
        <f>IF(B65="","",ROW()-2)</f>
        <v/>
      </c>
      <c r="B65" s="50" t="n">
        <v>46281</v>
      </c>
      <c r="C65" s="40" t="inlineStr">
        <is>
          <t>SIM-29</t>
        </is>
      </c>
      <c r="D65" s="40" t="inlineStr">
        <is>
          <t>Sí</t>
        </is>
      </c>
      <c r="E65" s="40" t="inlineStr">
        <is>
          <t>Asistió</t>
        </is>
      </c>
      <c r="F65" s="40" t="n"/>
      <c r="G65" s="40" t="inlineStr">
        <is>
          <t>Sí</t>
        </is>
      </c>
      <c r="H65" s="67">
        <f>IF(B65="","",IF(OR(C65="",E65=""),"Faltan datos",IF(COUNTIF(Pacientes!$A$2:$A$46,C65)=0,"Código no registrado","OK")))</f>
        <v/>
      </c>
    </row>
    <row r="66" ht="15" customHeight="1" s="27">
      <c r="A66" s="39">
        <f>IF(B66="","",ROW()-2)</f>
        <v/>
      </c>
      <c r="B66" s="50" t="n">
        <v>46281</v>
      </c>
      <c r="C66" s="40" t="inlineStr">
        <is>
          <t>SIM-27</t>
        </is>
      </c>
      <c r="D66" s="40" t="inlineStr">
        <is>
          <t>Sí</t>
        </is>
      </c>
      <c r="E66" s="40" t="inlineStr">
        <is>
          <t>Asistió</t>
        </is>
      </c>
      <c r="F66" s="40" t="n"/>
      <c r="G66" s="40" t="inlineStr">
        <is>
          <t>Sí</t>
        </is>
      </c>
      <c r="H66" s="67">
        <f>IF(B66="","",IF(OR(C66="",E66=""),"Faltan datos",IF(COUNTIF(Pacientes!$A$2:$A$46,C66)=0,"Código no registrado","OK")))</f>
        <v/>
      </c>
    </row>
    <row r="67" ht="15" customHeight="1" s="27">
      <c r="A67" s="39">
        <f>IF(B67="","",ROW()-2)</f>
        <v/>
      </c>
      <c r="B67" s="50" t="n">
        <v>46281</v>
      </c>
      <c r="C67" s="40" t="inlineStr">
        <is>
          <t>SIM-12</t>
        </is>
      </c>
      <c r="D67" s="40" t="inlineStr">
        <is>
          <t>Sí</t>
        </is>
      </c>
      <c r="E67" s="40" t="inlineStr">
        <is>
          <t>Asistió</t>
        </is>
      </c>
      <c r="F67" s="40" t="n"/>
      <c r="G67" s="40" t="inlineStr">
        <is>
          <t>Sí</t>
        </is>
      </c>
      <c r="H67" s="67">
        <f>IF(B67="","",IF(OR(C67="",E67=""),"Faltan datos",IF(COUNTIF(Pacientes!$A$2:$A$46,C67)=0,"Código no registrado","OK")))</f>
        <v/>
      </c>
    </row>
    <row r="68" ht="15" customHeight="1" s="27">
      <c r="A68" s="39">
        <f>IF(B68="","",ROW()-2)</f>
        <v/>
      </c>
      <c r="B68" s="50" t="n">
        <v>46281</v>
      </c>
      <c r="C68" s="40" t="inlineStr">
        <is>
          <t>SIM-29</t>
        </is>
      </c>
      <c r="D68" s="40" t="inlineStr">
        <is>
          <t>Sí</t>
        </is>
      </c>
      <c r="E68" s="40" t="inlineStr">
        <is>
          <t>Asistió</t>
        </is>
      </c>
      <c r="F68" s="40" t="n"/>
      <c r="G68" s="40" t="inlineStr">
        <is>
          <t>Sí</t>
        </is>
      </c>
      <c r="H68" s="67">
        <f>IF(B68="","",IF(OR(C68="",E68=""),"Faltan datos",IF(COUNTIF(Pacientes!$A$2:$A$46,C68)=0,"Código no registrado","OK")))</f>
        <v/>
      </c>
    </row>
    <row r="69" ht="15" customHeight="1" s="27">
      <c r="A69" s="39">
        <f>IF(B69="","",ROW()-2)</f>
        <v/>
      </c>
      <c r="B69" s="50" t="n">
        <v>46281</v>
      </c>
      <c r="C69" s="40" t="inlineStr">
        <is>
          <t>SIM-30</t>
        </is>
      </c>
      <c r="D69" s="40" t="inlineStr">
        <is>
          <t>Sí</t>
        </is>
      </c>
      <c r="E69" s="40" t="inlineStr">
        <is>
          <t>Cancelada</t>
        </is>
      </c>
      <c r="F69" s="40" t="inlineStr">
        <is>
          <t>Aviso previo</t>
        </is>
      </c>
      <c r="G69" s="40" t="inlineStr">
        <is>
          <t>Sí</t>
        </is>
      </c>
      <c r="H69" s="67">
        <f>IF(B69="","",IF(OR(C69="",E69=""),"Faltan datos",IF(COUNTIF(Pacientes!$A$2:$A$46,C69)=0,"Código no registrado","OK")))</f>
        <v/>
      </c>
    </row>
    <row r="70" ht="15" customHeight="1" s="27">
      <c r="A70" s="39">
        <f>IF(B70="","",ROW()-2)</f>
        <v/>
      </c>
      <c r="B70" s="50" t="n">
        <v>46281</v>
      </c>
      <c r="C70" s="40" t="inlineStr">
        <is>
          <t>SIM-29</t>
        </is>
      </c>
      <c r="D70" s="40" t="inlineStr">
        <is>
          <t>Sí</t>
        </is>
      </c>
      <c r="E70" s="40" t="inlineStr">
        <is>
          <t>Asistió</t>
        </is>
      </c>
      <c r="F70" s="40" t="n"/>
      <c r="G70" s="40" t="inlineStr">
        <is>
          <t>Sí</t>
        </is>
      </c>
      <c r="H70" s="67">
        <f>IF(B70="","",IF(OR(C70="",E70=""),"Faltan datos",IF(COUNTIF(Pacientes!$A$2:$A$46,C70)=0,"Código no registrado","OK")))</f>
        <v/>
      </c>
    </row>
    <row r="71" ht="15" customHeight="1" s="27">
      <c r="A71" s="39">
        <f>IF(B71="","",ROW()-2)</f>
        <v/>
      </c>
      <c r="B71" s="50" t="n">
        <v>46281</v>
      </c>
      <c r="C71" s="40" t="inlineStr">
        <is>
          <t>SIM-24</t>
        </is>
      </c>
      <c r="D71" s="40" t="inlineStr">
        <is>
          <t>Sí</t>
        </is>
      </c>
      <c r="E71" s="40" t="inlineStr">
        <is>
          <t>Asistió</t>
        </is>
      </c>
      <c r="F71" s="40" t="n"/>
      <c r="G71" s="40" t="inlineStr">
        <is>
          <t>Sí</t>
        </is>
      </c>
      <c r="H71" s="67">
        <f>IF(B71="","",IF(OR(C71="",E71=""),"Faltan datos",IF(COUNTIF(Pacientes!$A$2:$A$46,C71)=0,"Código no registrado","OK")))</f>
        <v/>
      </c>
    </row>
    <row r="72" ht="15" customHeight="1" s="27">
      <c r="A72" s="39">
        <f>IF(B72="","",ROW()-2)</f>
        <v/>
      </c>
      <c r="B72" s="50" t="n">
        <v>46281</v>
      </c>
      <c r="C72" s="40" t="inlineStr">
        <is>
          <t>SIM-17</t>
        </is>
      </c>
      <c r="D72" s="40" t="inlineStr">
        <is>
          <t>Sí</t>
        </is>
      </c>
      <c r="E72" s="40" t="inlineStr">
        <is>
          <t>No asistió</t>
        </is>
      </c>
      <c r="F72" s="40" t="inlineStr">
        <is>
          <t>Sin aviso</t>
        </is>
      </c>
      <c r="G72" s="40" t="inlineStr">
        <is>
          <t>Sí</t>
        </is>
      </c>
      <c r="H72" s="67">
        <f>IF(B72="","",IF(OR(C72="",E72=""),"Faltan datos",IF(COUNTIF(Pacientes!$A$2:$A$46,C72)=0,"Código no registrado","OK")))</f>
        <v/>
      </c>
    </row>
    <row r="73" ht="15" customHeight="1" s="27">
      <c r="A73" s="39">
        <f>IF(B73="","",ROW()-2)</f>
        <v/>
      </c>
      <c r="B73" s="50" t="n">
        <v>46281</v>
      </c>
      <c r="C73" s="40" t="inlineStr">
        <is>
          <t>SIM-20</t>
        </is>
      </c>
      <c r="D73" s="40" t="inlineStr">
        <is>
          <t>Sí</t>
        </is>
      </c>
      <c r="E73" s="40" t="inlineStr">
        <is>
          <t>Reprogramada</t>
        </is>
      </c>
      <c r="F73" s="40" t="inlineStr">
        <is>
          <t>Aviso previo</t>
        </is>
      </c>
      <c r="G73" s="40" t="inlineStr">
        <is>
          <t>Sí</t>
        </is>
      </c>
      <c r="H73" s="67">
        <f>IF(B73="","",IF(OR(C73="",E73=""),"Faltan datos",IF(COUNTIF(Pacientes!$A$2:$A$46,C73)=0,"Código no registrado","OK")))</f>
        <v/>
      </c>
    </row>
    <row r="74" ht="15" customHeight="1" s="27">
      <c r="A74" s="39">
        <f>IF(B74="","",ROW()-2)</f>
        <v/>
      </c>
      <c r="B74" s="50" t="n">
        <v>46281</v>
      </c>
      <c r="C74" s="40" t="inlineStr">
        <is>
          <t>SIM-09</t>
        </is>
      </c>
      <c r="D74" s="40" t="inlineStr">
        <is>
          <t>Sí</t>
        </is>
      </c>
      <c r="E74" s="40" t="inlineStr">
        <is>
          <t>No asistió</t>
        </is>
      </c>
      <c r="F74" s="40" t="inlineStr">
        <is>
          <t>Sin aviso</t>
        </is>
      </c>
      <c r="G74" s="40" t="inlineStr">
        <is>
          <t>Sí</t>
        </is>
      </c>
      <c r="H74" s="67">
        <f>IF(B74="","",IF(OR(C74="",E74=""),"Faltan datos",IF(COUNTIF(Pacientes!$A$2:$A$46,C74)=0,"Código no registrado","OK")))</f>
        <v/>
      </c>
    </row>
    <row r="75" ht="15" customHeight="1" s="27">
      <c r="A75" s="39">
        <f>IF(B75="","",ROW()-2)</f>
        <v/>
      </c>
      <c r="B75" s="50" t="n">
        <v>46281</v>
      </c>
      <c r="C75" s="40" t="inlineStr">
        <is>
          <t>SIM-29</t>
        </is>
      </c>
      <c r="D75" s="40" t="inlineStr">
        <is>
          <t>Sí</t>
        </is>
      </c>
      <c r="E75" s="40" t="inlineStr">
        <is>
          <t>Asistió</t>
        </is>
      </c>
      <c r="F75" s="40" t="n"/>
      <c r="G75" s="40" t="inlineStr">
        <is>
          <t>Sí</t>
        </is>
      </c>
      <c r="H75" s="67">
        <f>IF(B75="","",IF(OR(C75="",E75=""),"Faltan datos",IF(COUNTIF(Pacientes!$A$2:$A$46,C75)=0,"Código no registrado","OK")))</f>
        <v/>
      </c>
    </row>
    <row r="76" ht="15" customHeight="1" s="27">
      <c r="A76" s="39">
        <f>IF(B76="","",ROW()-2)</f>
        <v/>
      </c>
      <c r="B76" s="50" t="n">
        <v>46281</v>
      </c>
      <c r="C76" s="40" t="inlineStr">
        <is>
          <t>SIM-03</t>
        </is>
      </c>
      <c r="D76" s="40" t="inlineStr">
        <is>
          <t>Sí</t>
        </is>
      </c>
      <c r="E76" s="40" t="inlineStr">
        <is>
          <t>Asistió</t>
        </is>
      </c>
      <c r="F76" s="40" t="n"/>
      <c r="G76" s="40" t="inlineStr">
        <is>
          <t>Sí</t>
        </is>
      </c>
      <c r="H76" s="67">
        <f>IF(B76="","",IF(OR(C76="",E76=""),"Faltan datos",IF(COUNTIF(Pacientes!$A$2:$A$46,C76)=0,"Código no registrado","OK")))</f>
        <v/>
      </c>
    </row>
    <row r="77" ht="15" customHeight="1" s="27">
      <c r="A77" s="39">
        <f>IF(B77="","",ROW()-2)</f>
        <v/>
      </c>
      <c r="B77" s="50" t="n">
        <v>46283</v>
      </c>
      <c r="C77" s="40" t="inlineStr">
        <is>
          <t>SIM-09</t>
        </is>
      </c>
      <c r="D77" s="40" t="inlineStr">
        <is>
          <t>Sí</t>
        </is>
      </c>
      <c r="E77" s="40" t="inlineStr">
        <is>
          <t>Asistió</t>
        </is>
      </c>
      <c r="F77" s="40" t="n"/>
      <c r="G77" s="40" t="inlineStr">
        <is>
          <t>Sí</t>
        </is>
      </c>
      <c r="H77" s="67">
        <f>IF(B77="","",IF(OR(C77="",E77=""),"Faltan datos",IF(COUNTIF(Pacientes!$A$2:$A$46,C77)=0,"Código no registrado","OK")))</f>
        <v/>
      </c>
    </row>
    <row r="78" ht="15" customHeight="1" s="27">
      <c r="A78" s="39">
        <f>IF(B78="","",ROW()-2)</f>
        <v/>
      </c>
      <c r="B78" s="50" t="n">
        <v>46283</v>
      </c>
      <c r="C78" s="40" t="inlineStr">
        <is>
          <t>SIM-05</t>
        </is>
      </c>
      <c r="D78" s="40" t="inlineStr">
        <is>
          <t>Sí</t>
        </is>
      </c>
      <c r="E78" s="40" t="inlineStr">
        <is>
          <t>Asistió</t>
        </is>
      </c>
      <c r="F78" s="40" t="n"/>
      <c r="G78" s="40" t="inlineStr">
        <is>
          <t>Sí</t>
        </is>
      </c>
      <c r="H78" s="67">
        <f>IF(B78="","",IF(OR(C78="",E78=""),"Faltan datos",IF(COUNTIF(Pacientes!$A$2:$A$46,C78)=0,"Código no registrado","OK")))</f>
        <v/>
      </c>
    </row>
    <row r="79" ht="15" customHeight="1" s="27">
      <c r="A79" s="39">
        <f>IF(B79="","",ROW()-2)</f>
        <v/>
      </c>
      <c r="B79" s="50" t="n">
        <v>46283</v>
      </c>
      <c r="C79" s="40" t="inlineStr">
        <is>
          <t>SIM-21</t>
        </is>
      </c>
      <c r="D79" s="40" t="inlineStr">
        <is>
          <t>Sí</t>
        </is>
      </c>
      <c r="E79" s="40" t="inlineStr">
        <is>
          <t>Reprogramada</t>
        </is>
      </c>
      <c r="F79" s="40" t="inlineStr">
        <is>
          <t>Aviso previo</t>
        </is>
      </c>
      <c r="G79" s="40" t="inlineStr">
        <is>
          <t>Sí</t>
        </is>
      </c>
      <c r="H79" s="67">
        <f>IF(B79="","",IF(OR(C79="",E79=""),"Faltan datos",IF(COUNTIF(Pacientes!$A$2:$A$46,C79)=0,"Código no registrado","OK")))</f>
        <v/>
      </c>
    </row>
    <row r="80" ht="15" customHeight="1" s="27">
      <c r="A80" s="39">
        <f>IF(B80="","",ROW()-2)</f>
        <v/>
      </c>
      <c r="B80" s="50" t="n">
        <v>46283</v>
      </c>
      <c r="C80" s="40" t="inlineStr">
        <is>
          <t>SIM-08</t>
        </is>
      </c>
      <c r="D80" s="40" t="inlineStr">
        <is>
          <t>Sí</t>
        </is>
      </c>
      <c r="E80" s="40" t="inlineStr">
        <is>
          <t>Asistió</t>
        </is>
      </c>
      <c r="F80" s="40" t="n"/>
      <c r="G80" s="40" t="inlineStr">
        <is>
          <t>Sí</t>
        </is>
      </c>
      <c r="H80" s="67">
        <f>IF(B80="","",IF(OR(C80="",E80=""),"Faltan datos",IF(COUNTIF(Pacientes!$A$2:$A$46,C80)=0,"Código no registrado","OK")))</f>
        <v/>
      </c>
    </row>
    <row r="81" ht="15" customHeight="1" s="27">
      <c r="A81" s="39">
        <f>IF(B81="","",ROW()-2)</f>
        <v/>
      </c>
      <c r="B81" s="50" t="n">
        <v>46283</v>
      </c>
      <c r="C81" s="40" t="inlineStr">
        <is>
          <t>SIM-18</t>
        </is>
      </c>
      <c r="D81" s="40" t="inlineStr">
        <is>
          <t>Sí</t>
        </is>
      </c>
      <c r="E81" s="40" t="inlineStr">
        <is>
          <t>Asistió</t>
        </is>
      </c>
      <c r="F81" s="40" t="n"/>
      <c r="G81" s="40" t="inlineStr">
        <is>
          <t>Sí</t>
        </is>
      </c>
      <c r="H81" s="67">
        <f>IF(B81="","",IF(OR(C81="",E81=""),"Faltan datos",IF(COUNTIF(Pacientes!$A$2:$A$46,C81)=0,"Código no registrado","OK")))</f>
        <v/>
      </c>
    </row>
    <row r="82" ht="15" customHeight="1" s="27">
      <c r="A82" s="39">
        <f>IF(B82="","",ROW()-2)</f>
        <v/>
      </c>
      <c r="B82" s="50" t="n">
        <v>46283</v>
      </c>
      <c r="C82" s="40" t="inlineStr">
        <is>
          <t>SIM-19</t>
        </is>
      </c>
      <c r="D82" s="40" t="inlineStr">
        <is>
          <t>Sí</t>
        </is>
      </c>
      <c r="E82" s="40" t="inlineStr">
        <is>
          <t>No asistió</t>
        </is>
      </c>
      <c r="F82" s="40" t="inlineStr">
        <is>
          <t>Sin aviso</t>
        </is>
      </c>
      <c r="G82" s="40" t="inlineStr">
        <is>
          <t>Sí</t>
        </is>
      </c>
      <c r="H82" s="67">
        <f>IF(B82="","",IF(OR(C82="",E82=""),"Faltan datos",IF(COUNTIF(Pacientes!$A$2:$A$46,C82)=0,"Código no registrado","OK")))</f>
        <v/>
      </c>
    </row>
    <row r="83" ht="15" customHeight="1" s="27">
      <c r="A83" s="39">
        <f>IF(B83="","",ROW()-2)</f>
        <v/>
      </c>
      <c r="B83" s="50" t="n">
        <v>46283</v>
      </c>
      <c r="C83" s="40" t="inlineStr">
        <is>
          <t>SIM-13</t>
        </is>
      </c>
      <c r="D83" s="40" t="inlineStr">
        <is>
          <t>Sí</t>
        </is>
      </c>
      <c r="E83" s="40" t="inlineStr">
        <is>
          <t>Asistió</t>
        </is>
      </c>
      <c r="F83" s="40" t="n"/>
      <c r="G83" s="40" t="inlineStr">
        <is>
          <t>Sí</t>
        </is>
      </c>
      <c r="H83" s="67">
        <f>IF(B83="","",IF(OR(C83="",E83=""),"Faltan datos",IF(COUNTIF(Pacientes!$A$2:$A$46,C83)=0,"Código no registrado","OK")))</f>
        <v/>
      </c>
    </row>
    <row r="84" ht="15" customHeight="1" s="27">
      <c r="A84" s="39">
        <f>IF(B84="","",ROW()-2)</f>
        <v/>
      </c>
      <c r="B84" s="50" t="n">
        <v>46283</v>
      </c>
      <c r="C84" s="40" t="inlineStr">
        <is>
          <t>SIM-26</t>
        </is>
      </c>
      <c r="D84" s="40" t="inlineStr">
        <is>
          <t>Sí</t>
        </is>
      </c>
      <c r="E84" s="40" t="inlineStr">
        <is>
          <t>Asistió</t>
        </is>
      </c>
      <c r="F84" s="40" t="n"/>
      <c r="G84" s="40" t="inlineStr">
        <is>
          <t>Sí</t>
        </is>
      </c>
      <c r="H84" s="67">
        <f>IF(B84="","",IF(OR(C84="",E84=""),"Faltan datos",IF(COUNTIF(Pacientes!$A$2:$A$46,C84)=0,"Código no registrado","OK")))</f>
        <v/>
      </c>
    </row>
    <row r="85" ht="15" customHeight="1" s="27">
      <c r="A85" s="39">
        <f>IF(B85="","",ROW()-2)</f>
        <v/>
      </c>
      <c r="B85" s="50" t="n">
        <v>46283</v>
      </c>
      <c r="C85" s="40" t="inlineStr">
        <is>
          <t>SIM-19</t>
        </is>
      </c>
      <c r="D85" s="40" t="inlineStr">
        <is>
          <t>Sí</t>
        </is>
      </c>
      <c r="E85" s="40" t="inlineStr">
        <is>
          <t>Asistió</t>
        </is>
      </c>
      <c r="F85" s="40" t="n"/>
      <c r="G85" s="40" t="inlineStr">
        <is>
          <t>Sí</t>
        </is>
      </c>
      <c r="H85" s="67">
        <f>IF(B85="","",IF(OR(C85="",E85=""),"Faltan datos",IF(COUNTIF(Pacientes!$A$2:$A$46,C85)=0,"Código no registrado","OK")))</f>
        <v/>
      </c>
    </row>
    <row r="86" ht="15" customHeight="1" s="27">
      <c r="A86" s="39">
        <f>IF(B86="","",ROW()-2)</f>
        <v/>
      </c>
      <c r="B86" s="50" t="n">
        <v>46283</v>
      </c>
      <c r="C86" s="40" t="inlineStr">
        <is>
          <t>SIM-03</t>
        </is>
      </c>
      <c r="D86" s="40" t="inlineStr">
        <is>
          <t>Sí</t>
        </is>
      </c>
      <c r="E86" s="40" t="inlineStr">
        <is>
          <t>No asistió</t>
        </is>
      </c>
      <c r="F86" s="40" t="inlineStr">
        <is>
          <t>Sin aviso</t>
        </is>
      </c>
      <c r="G86" s="40" t="inlineStr">
        <is>
          <t>Sí</t>
        </is>
      </c>
      <c r="H86" s="67">
        <f>IF(B86="","",IF(OR(C86="",E86=""),"Faltan datos",IF(COUNTIF(Pacientes!$A$2:$A$46,C86)=0,"Código no registrado","OK")))</f>
        <v/>
      </c>
    </row>
    <row r="87" ht="15" customHeight="1" s="27">
      <c r="A87" s="39">
        <f>IF(B87="","",ROW()-2)</f>
        <v/>
      </c>
      <c r="B87" s="50" t="n">
        <v>46283</v>
      </c>
      <c r="C87" s="40" t="inlineStr">
        <is>
          <t>SIM-11</t>
        </is>
      </c>
      <c r="D87" s="40" t="inlineStr">
        <is>
          <t>Sí</t>
        </is>
      </c>
      <c r="E87" s="40" t="inlineStr">
        <is>
          <t>Cancelada</t>
        </is>
      </c>
      <c r="F87" s="40" t="inlineStr">
        <is>
          <t>Aviso previo</t>
        </is>
      </c>
      <c r="G87" s="40" t="inlineStr">
        <is>
          <t>Sí</t>
        </is>
      </c>
      <c r="H87" s="67">
        <f>IF(B87="","",IF(OR(C87="",E87=""),"Faltan datos",IF(COUNTIF(Pacientes!$A$2:$A$46,C87)=0,"Código no registrado","OK")))</f>
        <v/>
      </c>
    </row>
    <row r="88" ht="15" customHeight="1" s="27">
      <c r="A88" s="39">
        <f>IF(B88="","",ROW()-2)</f>
        <v/>
      </c>
      <c r="B88" s="50" t="n">
        <v>46286</v>
      </c>
      <c r="C88" s="40" t="inlineStr">
        <is>
          <t>SIM-09</t>
        </is>
      </c>
      <c r="D88" s="40" t="inlineStr">
        <is>
          <t>Sí</t>
        </is>
      </c>
      <c r="E88" s="40" t="inlineStr">
        <is>
          <t>Cancelada</t>
        </is>
      </c>
      <c r="F88" s="40" t="inlineStr">
        <is>
          <t>Aviso previo</t>
        </is>
      </c>
      <c r="G88" s="40" t="inlineStr">
        <is>
          <t>Sí</t>
        </is>
      </c>
      <c r="H88" s="67">
        <f>IF(B88="","",IF(OR(C88="",E88=""),"Faltan datos",IF(COUNTIF(Pacientes!$A$2:$A$46,C88)=0,"Código no registrado","OK")))</f>
        <v/>
      </c>
    </row>
    <row r="89" ht="15" customHeight="1" s="27">
      <c r="A89" s="39">
        <f>IF(B89="","",ROW()-2)</f>
        <v/>
      </c>
      <c r="B89" s="50" t="n">
        <v>46286</v>
      </c>
      <c r="C89" s="40" t="inlineStr">
        <is>
          <t>SIM-17</t>
        </is>
      </c>
      <c r="D89" s="40" t="inlineStr">
        <is>
          <t>Sí</t>
        </is>
      </c>
      <c r="E89" s="40" t="inlineStr">
        <is>
          <t>Reprogramada</t>
        </is>
      </c>
      <c r="F89" s="40" t="inlineStr">
        <is>
          <t>Aviso previo</t>
        </is>
      </c>
      <c r="G89" s="40" t="inlineStr">
        <is>
          <t>Sí</t>
        </is>
      </c>
      <c r="H89" s="67">
        <f>IF(B89="","",IF(OR(C89="",E89=""),"Faltan datos",IF(COUNTIF(Pacientes!$A$2:$A$46,C89)=0,"Código no registrado","OK")))</f>
        <v/>
      </c>
    </row>
    <row r="90" ht="15" customHeight="1" s="27">
      <c r="A90" s="39">
        <f>IF(B90="","",ROW()-2)</f>
        <v/>
      </c>
      <c r="B90" s="50" t="n">
        <v>46286</v>
      </c>
      <c r="C90" s="40" t="inlineStr">
        <is>
          <t>SIM-14</t>
        </is>
      </c>
      <c r="D90" s="40" t="inlineStr">
        <is>
          <t>Sí</t>
        </is>
      </c>
      <c r="E90" s="40" t="inlineStr">
        <is>
          <t>Asistió</t>
        </is>
      </c>
      <c r="F90" s="40" t="n"/>
      <c r="G90" s="40" t="inlineStr">
        <is>
          <t>Sí</t>
        </is>
      </c>
      <c r="H90" s="67">
        <f>IF(B90="","",IF(OR(C90="",E90=""),"Faltan datos",IF(COUNTIF(Pacientes!$A$2:$A$46,C90)=0,"Código no registrado","OK")))</f>
        <v/>
      </c>
    </row>
    <row r="91" ht="15" customHeight="1" s="27">
      <c r="A91" s="39">
        <f>IF(B91="","",ROW()-2)</f>
        <v/>
      </c>
      <c r="B91" s="50" t="n">
        <v>46286</v>
      </c>
      <c r="C91" s="40" t="inlineStr">
        <is>
          <t>SIM-29</t>
        </is>
      </c>
      <c r="D91" s="40" t="inlineStr">
        <is>
          <t>Sí</t>
        </is>
      </c>
      <c r="E91" s="40" t="inlineStr">
        <is>
          <t>Asistió</t>
        </is>
      </c>
      <c r="F91" s="40" t="n"/>
      <c r="G91" s="40" t="inlineStr">
        <is>
          <t>Sí</t>
        </is>
      </c>
      <c r="H91" s="67">
        <f>IF(B91="","",IF(OR(C91="",E91=""),"Faltan datos",IF(COUNTIF(Pacientes!$A$2:$A$46,C91)=0,"Código no registrado","OK")))</f>
        <v/>
      </c>
    </row>
    <row r="92" ht="15" customHeight="1" s="27">
      <c r="A92" s="39">
        <f>IF(B92="","",ROW()-2)</f>
        <v/>
      </c>
      <c r="B92" s="50" t="n">
        <v>46286</v>
      </c>
      <c r="C92" s="40" t="inlineStr">
        <is>
          <t>SIM-23</t>
        </is>
      </c>
      <c r="D92" s="40" t="inlineStr">
        <is>
          <t>Sí</t>
        </is>
      </c>
      <c r="E92" s="40" t="inlineStr">
        <is>
          <t>Asistió</t>
        </is>
      </c>
      <c r="F92" s="40" t="n"/>
      <c r="G92" s="40" t="inlineStr">
        <is>
          <t>Sí</t>
        </is>
      </c>
      <c r="H92" s="67">
        <f>IF(B92="","",IF(OR(C92="",E92=""),"Faltan datos",IF(COUNTIF(Pacientes!$A$2:$A$46,C92)=0,"Código no registrado","OK")))</f>
        <v/>
      </c>
    </row>
    <row r="93" ht="15" customHeight="1" s="27">
      <c r="A93" s="39">
        <f>IF(B93="","",ROW()-2)</f>
        <v/>
      </c>
      <c r="B93" s="50" t="n">
        <v>46286</v>
      </c>
      <c r="C93" s="40" t="inlineStr">
        <is>
          <t>SIM-19</t>
        </is>
      </c>
      <c r="D93" s="40" t="inlineStr">
        <is>
          <t>Sí</t>
        </is>
      </c>
      <c r="E93" s="40" t="inlineStr">
        <is>
          <t>Asistió</t>
        </is>
      </c>
      <c r="F93" s="40" t="n"/>
      <c r="G93" s="40" t="inlineStr">
        <is>
          <t>Sí</t>
        </is>
      </c>
      <c r="H93" s="67">
        <f>IF(B93="","",IF(OR(C93="",E93=""),"Faltan datos",IF(COUNTIF(Pacientes!$A$2:$A$46,C93)=0,"Código no registrado","OK")))</f>
        <v/>
      </c>
    </row>
    <row r="94" ht="15" customHeight="1" s="27">
      <c r="A94" s="39">
        <f>IF(B94="","",ROW()-2)</f>
        <v/>
      </c>
      <c r="B94" s="50" t="n">
        <v>46286</v>
      </c>
      <c r="C94" s="40" t="inlineStr">
        <is>
          <t>SIM-30</t>
        </is>
      </c>
      <c r="D94" s="40" t="inlineStr">
        <is>
          <t>Sí</t>
        </is>
      </c>
      <c r="E94" s="40" t="inlineStr">
        <is>
          <t>Asistió</t>
        </is>
      </c>
      <c r="F94" s="40" t="n"/>
      <c r="G94" s="40" t="inlineStr">
        <is>
          <t>Sí</t>
        </is>
      </c>
      <c r="H94" s="67">
        <f>IF(B94="","",IF(OR(C94="",E94=""),"Faltan datos",IF(COUNTIF(Pacientes!$A$2:$A$46,C94)=0,"Código no registrado","OK")))</f>
        <v/>
      </c>
    </row>
    <row r="95" ht="15" customHeight="1" s="27">
      <c r="A95" s="39">
        <f>IF(B95="","",ROW()-2)</f>
        <v/>
      </c>
      <c r="B95" s="50" t="n">
        <v>46286</v>
      </c>
      <c r="C95" s="40" t="inlineStr">
        <is>
          <t>SIM-17</t>
        </is>
      </c>
      <c r="D95" s="40" t="inlineStr">
        <is>
          <t>Sí</t>
        </is>
      </c>
      <c r="E95" s="40" t="inlineStr">
        <is>
          <t>Reprogramada</t>
        </is>
      </c>
      <c r="F95" s="40" t="inlineStr">
        <is>
          <t>Aviso previo</t>
        </is>
      </c>
      <c r="G95" s="40" t="inlineStr">
        <is>
          <t>Sí</t>
        </is>
      </c>
      <c r="H95" s="67">
        <f>IF(B95="","",IF(OR(C95="",E95=""),"Faltan datos",IF(COUNTIF(Pacientes!$A$2:$A$46,C95)=0,"Código no registrado","OK")))</f>
        <v/>
      </c>
    </row>
    <row r="96" ht="15" customHeight="1" s="27">
      <c r="A96" s="39">
        <f>IF(B96="","",ROW()-2)</f>
        <v/>
      </c>
      <c r="B96" s="50" t="n">
        <v>46286</v>
      </c>
      <c r="C96" s="40" t="inlineStr">
        <is>
          <t>SIM-12</t>
        </is>
      </c>
      <c r="D96" s="40" t="inlineStr">
        <is>
          <t>Sí</t>
        </is>
      </c>
      <c r="E96" s="40" t="inlineStr">
        <is>
          <t>Asistió</t>
        </is>
      </c>
      <c r="F96" s="40" t="n"/>
      <c r="G96" s="40" t="inlineStr">
        <is>
          <t>Sí</t>
        </is>
      </c>
      <c r="H96" s="67">
        <f>IF(B96="","",IF(OR(C96="",E96=""),"Faltan datos",IF(COUNTIF(Pacientes!$A$2:$A$46,C96)=0,"Código no registrado","OK")))</f>
        <v/>
      </c>
    </row>
    <row r="97" ht="15" customHeight="1" s="27">
      <c r="A97" s="39">
        <f>IF(B97="","",ROW()-2)</f>
        <v/>
      </c>
      <c r="B97" s="50" t="n">
        <v>46286</v>
      </c>
      <c r="C97" s="40" t="inlineStr">
        <is>
          <t>SIM-26</t>
        </is>
      </c>
      <c r="D97" s="40" t="inlineStr">
        <is>
          <t>Sí</t>
        </is>
      </c>
      <c r="E97" s="40" t="inlineStr">
        <is>
          <t>Asistió</t>
        </is>
      </c>
      <c r="F97" s="40" t="n"/>
      <c r="G97" s="40" t="inlineStr">
        <is>
          <t>Sí</t>
        </is>
      </c>
      <c r="H97" s="67">
        <f>IF(B97="","",IF(OR(C97="",E97=""),"Faltan datos",IF(COUNTIF(Pacientes!$A$2:$A$46,C97)=0,"Código no registrado","OK")))</f>
        <v/>
      </c>
    </row>
    <row r="98" ht="15" customHeight="1" s="27">
      <c r="A98" s="39">
        <f>IF(B98="","",ROW()-2)</f>
        <v/>
      </c>
      <c r="B98" s="50" t="n">
        <v>46286</v>
      </c>
      <c r="C98" s="40" t="inlineStr">
        <is>
          <t>SIM-28</t>
        </is>
      </c>
      <c r="D98" s="40" t="inlineStr">
        <is>
          <t>Sí</t>
        </is>
      </c>
      <c r="E98" s="40" t="inlineStr">
        <is>
          <t>No asistió</t>
        </is>
      </c>
      <c r="F98" s="40" t="inlineStr">
        <is>
          <t>Sin aviso</t>
        </is>
      </c>
      <c r="G98" s="40" t="inlineStr">
        <is>
          <t>Sí</t>
        </is>
      </c>
      <c r="H98" s="67">
        <f>IF(B98="","",IF(OR(C98="",E98=""),"Faltan datos",IF(COUNTIF(Pacientes!$A$2:$A$46,C98)=0,"Código no registrado","OK")))</f>
        <v/>
      </c>
    </row>
    <row r="99" ht="15" customHeight="1" s="27">
      <c r="A99" s="39">
        <f>IF(B99="","",ROW()-2)</f>
        <v/>
      </c>
      <c r="B99" s="50" t="n">
        <v>46288</v>
      </c>
      <c r="C99" s="40" t="inlineStr">
        <is>
          <t>SIM-16</t>
        </is>
      </c>
      <c r="D99" s="40" t="inlineStr">
        <is>
          <t>Sí</t>
        </is>
      </c>
      <c r="E99" s="40" t="inlineStr">
        <is>
          <t>Asistió</t>
        </is>
      </c>
      <c r="F99" s="40" t="n"/>
      <c r="G99" s="40" t="inlineStr">
        <is>
          <t>Sí</t>
        </is>
      </c>
      <c r="H99" s="67">
        <f>IF(B99="","",IF(OR(C99="",E99=""),"Faltan datos",IF(COUNTIF(Pacientes!$A$2:$A$46,C99)=0,"Código no registrado","OK")))</f>
        <v/>
      </c>
    </row>
    <row r="100" ht="15" customHeight="1" s="27">
      <c r="A100" s="39">
        <f>IF(B100="","",ROW()-2)</f>
        <v/>
      </c>
      <c r="B100" s="50" t="n">
        <v>46288</v>
      </c>
      <c r="C100" s="40" t="inlineStr">
        <is>
          <t>SIM-02</t>
        </is>
      </c>
      <c r="D100" s="40" t="inlineStr">
        <is>
          <t>Sí</t>
        </is>
      </c>
      <c r="E100" s="40" t="inlineStr">
        <is>
          <t>Asistió</t>
        </is>
      </c>
      <c r="F100" s="40" t="n"/>
      <c r="G100" s="40" t="inlineStr">
        <is>
          <t>Sí</t>
        </is>
      </c>
      <c r="H100" s="67">
        <f>IF(B100="","",IF(OR(C100="",E100=""),"Faltan datos",IF(COUNTIF(Pacientes!$A$2:$A$46,C100)=0,"Código no registrado","OK")))</f>
        <v/>
      </c>
    </row>
    <row r="101" ht="15" customHeight="1" s="27">
      <c r="A101" s="39">
        <f>IF(B101="","",ROW()-2)</f>
        <v/>
      </c>
      <c r="B101" s="50" t="n">
        <v>46288</v>
      </c>
      <c r="C101" s="40" t="inlineStr">
        <is>
          <t>SIM-11</t>
        </is>
      </c>
      <c r="D101" s="40" t="inlineStr">
        <is>
          <t>Sí</t>
        </is>
      </c>
      <c r="E101" s="40" t="inlineStr">
        <is>
          <t>Reprogramada</t>
        </is>
      </c>
      <c r="F101" s="40" t="inlineStr">
        <is>
          <t>Aviso previo</t>
        </is>
      </c>
      <c r="G101" s="40" t="inlineStr">
        <is>
          <t>Sí</t>
        </is>
      </c>
      <c r="H101" s="67">
        <f>IF(B101="","",IF(OR(C101="",E101=""),"Faltan datos",IF(COUNTIF(Pacientes!$A$2:$A$46,C101)=0,"Código no registrado","OK")))</f>
        <v/>
      </c>
    </row>
    <row r="102" ht="15" customHeight="1" s="27">
      <c r="A102" s="39">
        <f>IF(B102="","",ROW()-2)</f>
        <v/>
      </c>
      <c r="B102" s="50" t="n">
        <v>46288</v>
      </c>
      <c r="C102" s="40" t="inlineStr">
        <is>
          <t>SIM-23</t>
        </is>
      </c>
      <c r="D102" s="40" t="inlineStr">
        <is>
          <t>Sí</t>
        </is>
      </c>
      <c r="E102" s="40" t="inlineStr">
        <is>
          <t>No asistió</t>
        </is>
      </c>
      <c r="F102" s="40" t="inlineStr">
        <is>
          <t>Sin aviso</t>
        </is>
      </c>
      <c r="G102" s="40" t="inlineStr">
        <is>
          <t>Sí</t>
        </is>
      </c>
      <c r="H102" s="67">
        <f>IF(B102="","",IF(OR(C102="",E102=""),"Faltan datos",IF(COUNTIF(Pacientes!$A$2:$A$46,C102)=0,"Código no registrado","OK")))</f>
        <v/>
      </c>
    </row>
    <row r="103" ht="15" customHeight="1" s="27">
      <c r="A103" s="39">
        <f>IF(B103="","",ROW()-2)</f>
        <v/>
      </c>
      <c r="B103" s="50" t="n">
        <v>46288</v>
      </c>
      <c r="C103" s="40" t="inlineStr">
        <is>
          <t>SIM-07</t>
        </is>
      </c>
      <c r="D103" s="40" t="inlineStr">
        <is>
          <t>Sí</t>
        </is>
      </c>
      <c r="E103" s="40" t="inlineStr">
        <is>
          <t>Asistió</t>
        </is>
      </c>
      <c r="F103" s="40" t="n"/>
      <c r="G103" s="40" t="inlineStr">
        <is>
          <t>Sí</t>
        </is>
      </c>
      <c r="H103" s="67">
        <f>IF(B103="","",IF(OR(C103="",E103=""),"Faltan datos",IF(COUNTIF(Pacientes!$A$2:$A$46,C103)=0,"Código no registrado","OK")))</f>
        <v/>
      </c>
    </row>
    <row r="104" ht="15" customHeight="1" s="27">
      <c r="A104" s="39">
        <f>IF(B104="","",ROW()-2)</f>
        <v/>
      </c>
      <c r="B104" s="50" t="n">
        <v>46288</v>
      </c>
      <c r="C104" s="40" t="inlineStr">
        <is>
          <t>SIM-24</t>
        </is>
      </c>
      <c r="D104" s="40" t="inlineStr">
        <is>
          <t>Sí</t>
        </is>
      </c>
      <c r="E104" s="40" t="inlineStr">
        <is>
          <t>No asistió</t>
        </is>
      </c>
      <c r="F104" s="40" t="inlineStr">
        <is>
          <t>Sin aviso</t>
        </is>
      </c>
      <c r="G104" s="40" t="inlineStr">
        <is>
          <t>Sí</t>
        </is>
      </c>
      <c r="H104" s="67">
        <f>IF(B104="","",IF(OR(C104="",E104=""),"Faltan datos",IF(COUNTIF(Pacientes!$A$2:$A$46,C104)=0,"Código no registrado","OK")))</f>
        <v/>
      </c>
    </row>
    <row r="105" ht="15" customHeight="1" s="27">
      <c r="A105" s="39">
        <f>IF(B105="","",ROW()-2)</f>
        <v/>
      </c>
      <c r="B105" s="50" t="n">
        <v>46288</v>
      </c>
      <c r="C105" s="40" t="inlineStr">
        <is>
          <t>SIM-22</t>
        </is>
      </c>
      <c r="D105" s="40" t="inlineStr">
        <is>
          <t>Sí</t>
        </is>
      </c>
      <c r="E105" s="40" t="inlineStr">
        <is>
          <t>Asistió</t>
        </is>
      </c>
      <c r="F105" s="40" t="n"/>
      <c r="G105" s="40" t="inlineStr">
        <is>
          <t>Sí</t>
        </is>
      </c>
      <c r="H105" s="67">
        <f>IF(B105="","",IF(OR(C105="",E105=""),"Faltan datos",IF(COUNTIF(Pacientes!$A$2:$A$46,C105)=0,"Código no registrado","OK")))</f>
        <v/>
      </c>
    </row>
    <row r="106" ht="15" customHeight="1" s="27">
      <c r="A106" s="39">
        <f>IF(B106="","",ROW()-2)</f>
        <v/>
      </c>
      <c r="B106" s="50" t="n">
        <v>46288</v>
      </c>
      <c r="C106" s="40" t="inlineStr">
        <is>
          <t>SIM-14</t>
        </is>
      </c>
      <c r="D106" s="40" t="inlineStr">
        <is>
          <t>Sí</t>
        </is>
      </c>
      <c r="E106" s="40" t="inlineStr">
        <is>
          <t>No asistió</t>
        </is>
      </c>
      <c r="F106" s="40" t="inlineStr">
        <is>
          <t>Sin aviso</t>
        </is>
      </c>
      <c r="G106" s="40" t="inlineStr">
        <is>
          <t>Sí</t>
        </is>
      </c>
      <c r="H106" s="67">
        <f>IF(B106="","",IF(OR(C106="",E106=""),"Faltan datos",IF(COUNTIF(Pacientes!$A$2:$A$46,C106)=0,"Código no registrado","OK")))</f>
        <v/>
      </c>
    </row>
    <row r="107" ht="15" customHeight="1" s="27">
      <c r="A107" s="39">
        <f>IF(B107="","",ROW()-2)</f>
        <v/>
      </c>
      <c r="B107" s="50" t="n">
        <v>46288</v>
      </c>
      <c r="C107" s="40" t="inlineStr">
        <is>
          <t>SIM-12</t>
        </is>
      </c>
      <c r="D107" s="40" t="inlineStr">
        <is>
          <t>Sí</t>
        </is>
      </c>
      <c r="E107" s="40" t="inlineStr">
        <is>
          <t>Reprogramada</t>
        </is>
      </c>
      <c r="F107" s="40" t="inlineStr">
        <is>
          <t>Aviso previo</t>
        </is>
      </c>
      <c r="G107" s="40" t="inlineStr">
        <is>
          <t>Sí</t>
        </is>
      </c>
      <c r="H107" s="67">
        <f>IF(B107="","",IF(OR(C107="",E107=""),"Faltan datos",IF(COUNTIF(Pacientes!$A$2:$A$46,C107)=0,"Código no registrado","OK")))</f>
        <v/>
      </c>
    </row>
    <row r="108" ht="15" customHeight="1" s="27">
      <c r="A108" s="39">
        <f>IF(B108="","",ROW()-2)</f>
        <v/>
      </c>
      <c r="B108" s="50" t="n">
        <v>46288</v>
      </c>
      <c r="C108" s="40" t="inlineStr">
        <is>
          <t>SIM-10</t>
        </is>
      </c>
      <c r="D108" s="40" t="inlineStr">
        <is>
          <t>Sí</t>
        </is>
      </c>
      <c r="E108" s="40" t="inlineStr">
        <is>
          <t>Reprogramada</t>
        </is>
      </c>
      <c r="F108" s="40" t="inlineStr">
        <is>
          <t>Aviso previo</t>
        </is>
      </c>
      <c r="G108" s="40" t="inlineStr">
        <is>
          <t>Sí</t>
        </is>
      </c>
      <c r="H108" s="67">
        <f>IF(B108="","",IF(OR(C108="",E108=""),"Faltan datos",IF(COUNTIF(Pacientes!$A$2:$A$46,C108)=0,"Código no registrado","OK")))</f>
        <v/>
      </c>
    </row>
    <row r="109" ht="15" customHeight="1" s="27">
      <c r="A109" s="39">
        <f>IF(B109="","",ROW()-2)</f>
        <v/>
      </c>
      <c r="B109" s="50" t="n">
        <v>46288</v>
      </c>
      <c r="C109" s="40" t="inlineStr">
        <is>
          <t>SIM-12</t>
        </is>
      </c>
      <c r="D109" s="40" t="inlineStr">
        <is>
          <t>Sí</t>
        </is>
      </c>
      <c r="E109" s="40" t="inlineStr">
        <is>
          <t>Asistió</t>
        </is>
      </c>
      <c r="F109" s="40" t="n"/>
      <c r="G109" s="40" t="inlineStr">
        <is>
          <t>Sí</t>
        </is>
      </c>
      <c r="H109" s="67">
        <f>IF(B109="","",IF(OR(C109="",E109=""),"Faltan datos",IF(COUNTIF(Pacientes!$A$2:$A$46,C109)=0,"Código no registrado","OK")))</f>
        <v/>
      </c>
    </row>
    <row r="110" ht="15" customHeight="1" s="27">
      <c r="A110" s="39">
        <f>IF(B110="","",ROW()-2)</f>
        <v/>
      </c>
      <c r="B110" s="50" t="n">
        <v>46288</v>
      </c>
      <c r="C110" s="40" t="inlineStr">
        <is>
          <t>SIM-05</t>
        </is>
      </c>
      <c r="D110" s="40" t="inlineStr">
        <is>
          <t>Sí</t>
        </is>
      </c>
      <c r="E110" s="40" t="inlineStr">
        <is>
          <t>No asistió</t>
        </is>
      </c>
      <c r="F110" s="40" t="inlineStr">
        <is>
          <t>Sin aviso</t>
        </is>
      </c>
      <c r="G110" s="40" t="inlineStr">
        <is>
          <t>Sí</t>
        </is>
      </c>
      <c r="H110" s="67">
        <f>IF(B110="","",IF(OR(C110="",E110=""),"Faltan datos",IF(COUNTIF(Pacientes!$A$2:$A$46,C110)=0,"Código no registrado","OK")))</f>
        <v/>
      </c>
    </row>
    <row r="111" ht="15" customHeight="1" s="27">
      <c r="A111" s="39">
        <f>IF(B111="","",ROW()-2)</f>
        <v/>
      </c>
      <c r="B111" s="50" t="n">
        <v>46290</v>
      </c>
      <c r="C111" s="40" t="inlineStr">
        <is>
          <t>SIM-29</t>
        </is>
      </c>
      <c r="D111" s="40" t="inlineStr">
        <is>
          <t>Sí</t>
        </is>
      </c>
      <c r="E111" s="40" t="inlineStr">
        <is>
          <t>Asistió</t>
        </is>
      </c>
      <c r="F111" s="40" t="n"/>
      <c r="G111" s="40" t="inlineStr">
        <is>
          <t>Sí</t>
        </is>
      </c>
      <c r="H111" s="67">
        <f>IF(B111="","",IF(OR(C111="",E111=""),"Faltan datos",IF(COUNTIF(Pacientes!$A$2:$A$46,C111)=0,"Código no registrado","OK")))</f>
        <v/>
      </c>
    </row>
    <row r="112" ht="15" customHeight="1" s="27">
      <c r="A112" s="39">
        <f>IF(B112="","",ROW()-2)</f>
        <v/>
      </c>
      <c r="B112" s="50" t="n">
        <v>46290</v>
      </c>
      <c r="C112" s="40" t="inlineStr">
        <is>
          <t>SIM-19</t>
        </is>
      </c>
      <c r="D112" s="40" t="inlineStr">
        <is>
          <t>Sí</t>
        </is>
      </c>
      <c r="E112" s="40" t="inlineStr">
        <is>
          <t>Asistió</t>
        </is>
      </c>
      <c r="F112" s="40" t="n"/>
      <c r="G112" s="40" t="inlineStr">
        <is>
          <t>Sí</t>
        </is>
      </c>
      <c r="H112" s="67">
        <f>IF(B112="","",IF(OR(C112="",E112=""),"Faltan datos",IF(COUNTIF(Pacientes!$A$2:$A$46,C112)=0,"Código no registrado","OK")))</f>
        <v/>
      </c>
    </row>
    <row r="113" ht="15" customHeight="1" s="27">
      <c r="A113" s="39">
        <f>IF(B113="","",ROW()-2)</f>
        <v/>
      </c>
      <c r="B113" s="50" t="n">
        <v>46290</v>
      </c>
      <c r="C113" s="40" t="inlineStr">
        <is>
          <t>SIM-23</t>
        </is>
      </c>
      <c r="D113" s="40" t="inlineStr">
        <is>
          <t>Sí</t>
        </is>
      </c>
      <c r="E113" s="40" t="inlineStr">
        <is>
          <t>Asistió</t>
        </is>
      </c>
      <c r="F113" s="40" t="n"/>
      <c r="G113" s="40" t="inlineStr">
        <is>
          <t>Sí</t>
        </is>
      </c>
      <c r="H113" s="67">
        <f>IF(B113="","",IF(OR(C113="",E113=""),"Faltan datos",IF(COUNTIF(Pacientes!$A$2:$A$46,C113)=0,"Código no registrado","OK")))</f>
        <v/>
      </c>
    </row>
    <row r="114" ht="15" customHeight="1" s="27">
      <c r="A114" s="39">
        <f>IF(B114="","",ROW()-2)</f>
        <v/>
      </c>
      <c r="B114" s="50" t="n">
        <v>46290</v>
      </c>
      <c r="C114" s="40" t="inlineStr">
        <is>
          <t>SIM-29</t>
        </is>
      </c>
      <c r="D114" s="40" t="inlineStr">
        <is>
          <t>Sí</t>
        </is>
      </c>
      <c r="E114" s="40" t="inlineStr">
        <is>
          <t>Asistió</t>
        </is>
      </c>
      <c r="F114" s="40" t="n"/>
      <c r="G114" s="40" t="inlineStr">
        <is>
          <t>Sí</t>
        </is>
      </c>
      <c r="H114" s="67">
        <f>IF(B114="","",IF(OR(C114="",E114=""),"Faltan datos",IF(COUNTIF(Pacientes!$A$2:$A$46,C114)=0,"Código no registrado","OK")))</f>
        <v/>
      </c>
    </row>
    <row r="115" ht="15" customHeight="1" s="27">
      <c r="A115" s="39">
        <f>IF(B115="","",ROW()-2)</f>
        <v/>
      </c>
      <c r="B115" s="50" t="n">
        <v>46290</v>
      </c>
      <c r="C115" s="40" t="inlineStr">
        <is>
          <t>SIM-27</t>
        </is>
      </c>
      <c r="D115" s="40" t="inlineStr">
        <is>
          <t>Sí</t>
        </is>
      </c>
      <c r="E115" s="40" t="inlineStr">
        <is>
          <t>Reprogramada</t>
        </is>
      </c>
      <c r="F115" s="40" t="inlineStr">
        <is>
          <t>Aviso previo</t>
        </is>
      </c>
      <c r="G115" s="40" t="inlineStr">
        <is>
          <t>Sí</t>
        </is>
      </c>
      <c r="H115" s="67">
        <f>IF(B115="","",IF(OR(C115="",E115=""),"Faltan datos",IF(COUNTIF(Pacientes!$A$2:$A$46,C115)=0,"Código no registrado","OK")))</f>
        <v/>
      </c>
    </row>
    <row r="116" ht="15" customHeight="1" s="27">
      <c r="A116" s="39">
        <f>IF(B116="","",ROW()-2)</f>
        <v/>
      </c>
      <c r="B116" s="50" t="n">
        <v>46290</v>
      </c>
      <c r="C116" s="40" t="inlineStr">
        <is>
          <t>SIM-24</t>
        </is>
      </c>
      <c r="D116" s="40" t="inlineStr">
        <is>
          <t>Sí</t>
        </is>
      </c>
      <c r="E116" s="40" t="inlineStr">
        <is>
          <t>Asistió</t>
        </is>
      </c>
      <c r="F116" s="40" t="n"/>
      <c r="G116" s="40" t="inlineStr">
        <is>
          <t>Sí</t>
        </is>
      </c>
      <c r="H116" s="67">
        <f>IF(B116="","",IF(OR(C116="",E116=""),"Faltan datos",IF(COUNTIF(Pacientes!$A$2:$A$46,C116)=0,"Código no registrado","OK")))</f>
        <v/>
      </c>
    </row>
    <row r="117" ht="15" customHeight="1" s="27">
      <c r="A117" s="39">
        <f>IF(B117="","",ROW()-2)</f>
        <v/>
      </c>
      <c r="B117" s="50" t="n">
        <v>46290</v>
      </c>
      <c r="C117" s="40" t="inlineStr">
        <is>
          <t>SIM-07</t>
        </is>
      </c>
      <c r="D117" s="40" t="inlineStr">
        <is>
          <t>Sí</t>
        </is>
      </c>
      <c r="E117" s="40" t="inlineStr">
        <is>
          <t>Asistió</t>
        </is>
      </c>
      <c r="F117" s="40" t="n"/>
      <c r="G117" s="40" t="inlineStr">
        <is>
          <t>Sí</t>
        </is>
      </c>
      <c r="H117" s="67">
        <f>IF(B117="","",IF(OR(C117="",E117=""),"Faltan datos",IF(COUNTIF(Pacientes!$A$2:$A$46,C117)=0,"Código no registrado","OK")))</f>
        <v/>
      </c>
    </row>
    <row r="118" ht="15" customHeight="1" s="27">
      <c r="A118" s="39">
        <f>IF(B118="","",ROW()-2)</f>
        <v/>
      </c>
      <c r="B118" s="50" t="n">
        <v>46290</v>
      </c>
      <c r="C118" s="40" t="inlineStr">
        <is>
          <t>SIM-29</t>
        </is>
      </c>
      <c r="D118" s="40" t="inlineStr">
        <is>
          <t>Sí</t>
        </is>
      </c>
      <c r="E118" s="40" t="inlineStr">
        <is>
          <t>Asistió</t>
        </is>
      </c>
      <c r="F118" s="40" t="n"/>
      <c r="G118" s="40" t="inlineStr">
        <is>
          <t>Sí</t>
        </is>
      </c>
      <c r="H118" s="67">
        <f>IF(B118="","",IF(OR(C118="",E118=""),"Faltan datos",IF(COUNTIF(Pacientes!$A$2:$A$46,C118)=0,"Código no registrado","OK")))</f>
        <v/>
      </c>
    </row>
    <row r="119" ht="15" customHeight="1" s="27">
      <c r="A119" s="39">
        <f>IF(B119="","",ROW()-2)</f>
        <v/>
      </c>
      <c r="B119" s="50" t="n">
        <v>46290</v>
      </c>
      <c r="C119" s="40" t="inlineStr">
        <is>
          <t>SIM-20</t>
        </is>
      </c>
      <c r="D119" s="40" t="inlineStr">
        <is>
          <t>Sí</t>
        </is>
      </c>
      <c r="E119" s="40" t="inlineStr">
        <is>
          <t>Asistió</t>
        </is>
      </c>
      <c r="F119" s="40" t="n"/>
      <c r="G119" s="40" t="inlineStr">
        <is>
          <t>Sí</t>
        </is>
      </c>
      <c r="H119" s="67">
        <f>IF(B119="","",IF(OR(C119="",E119=""),"Faltan datos",IF(COUNTIF(Pacientes!$A$2:$A$46,C119)=0,"Código no registrado","OK")))</f>
        <v/>
      </c>
    </row>
    <row r="120" ht="15" customHeight="1" s="27">
      <c r="A120" s="39">
        <f>IF(B120="","",ROW()-2)</f>
        <v/>
      </c>
      <c r="B120" s="50" t="n">
        <v>46290</v>
      </c>
      <c r="C120" s="40" t="inlineStr">
        <is>
          <t>SIM-23</t>
        </is>
      </c>
      <c r="D120" s="40" t="inlineStr">
        <is>
          <t>Sí</t>
        </is>
      </c>
      <c r="E120" s="40" t="inlineStr">
        <is>
          <t>Asistió</t>
        </is>
      </c>
      <c r="F120" s="40" t="n"/>
      <c r="G120" s="40" t="inlineStr">
        <is>
          <t>Sí</t>
        </is>
      </c>
      <c r="H120" s="67">
        <f>IF(B120="","",IF(OR(C120="",E120=""),"Faltan datos",IF(COUNTIF(Pacientes!$A$2:$A$46,C120)=0,"Código no registrado","OK")))</f>
        <v/>
      </c>
    </row>
    <row r="121" ht="15" customHeight="1" s="27">
      <c r="A121" s="39">
        <f>IF(B121="","",ROW()-2)</f>
        <v/>
      </c>
      <c r="B121" s="50" t="n">
        <v>46290</v>
      </c>
      <c r="C121" s="40" t="inlineStr">
        <is>
          <t>SIM-06</t>
        </is>
      </c>
      <c r="D121" s="40" t="inlineStr">
        <is>
          <t>Sí</t>
        </is>
      </c>
      <c r="E121" s="40" t="inlineStr">
        <is>
          <t>Cancelada</t>
        </is>
      </c>
      <c r="F121" s="40" t="inlineStr">
        <is>
          <t>Aviso previo</t>
        </is>
      </c>
      <c r="G121" s="40" t="inlineStr">
        <is>
          <t>Sí</t>
        </is>
      </c>
      <c r="H121" s="67">
        <f>IF(B121="","",IF(OR(C121="",E121=""),"Faltan datos",IF(COUNTIF(Pacientes!$A$2:$A$46,C121)=0,"Código no registrado","OK")))</f>
        <v/>
      </c>
    </row>
    <row r="122" ht="15" customHeight="1" s="27">
      <c r="A122" s="39">
        <f>IF(B122="","",ROW()-2)</f>
        <v/>
      </c>
      <c r="B122" s="50" t="n">
        <v>46290</v>
      </c>
      <c r="C122" s="40" t="inlineStr">
        <is>
          <t>SIM-19</t>
        </is>
      </c>
      <c r="D122" s="40" t="inlineStr">
        <is>
          <t>Sí</t>
        </is>
      </c>
      <c r="E122" s="40" t="inlineStr">
        <is>
          <t>Asistió</t>
        </is>
      </c>
      <c r="F122" s="40" t="n"/>
      <c r="G122" s="40" t="inlineStr">
        <is>
          <t>Sí</t>
        </is>
      </c>
      <c r="H122" s="67">
        <f>IF(B122="","",IF(OR(C122="",E122=""),"Faltan datos",IF(COUNTIF(Pacientes!$A$2:$A$46,C122)=0,"Código no registrado","OK")))</f>
        <v/>
      </c>
    </row>
    <row r="123" ht="15" customHeight="1" s="27">
      <c r="A123" s="39">
        <f>IF(B123="","",ROW()-2)</f>
        <v/>
      </c>
      <c r="B123" s="50" t="n">
        <v>46293</v>
      </c>
      <c r="C123" s="40" t="inlineStr">
        <is>
          <t>SIM-14</t>
        </is>
      </c>
      <c r="D123" s="40" t="inlineStr">
        <is>
          <t>Sí</t>
        </is>
      </c>
      <c r="E123" s="40" t="inlineStr">
        <is>
          <t>Asistió</t>
        </is>
      </c>
      <c r="F123" s="40" t="n"/>
      <c r="G123" s="40" t="inlineStr">
        <is>
          <t>Sí</t>
        </is>
      </c>
      <c r="H123" s="67">
        <f>IF(B123="","",IF(OR(C123="",E123=""),"Faltan datos",IF(COUNTIF(Pacientes!$A$2:$A$46,C123)=0,"Código no registrado","OK")))</f>
        <v/>
      </c>
    </row>
    <row r="124" ht="15" customHeight="1" s="27">
      <c r="A124" s="39">
        <f>IF(B124="","",ROW()-2)</f>
        <v/>
      </c>
      <c r="B124" s="50" t="n">
        <v>46293</v>
      </c>
      <c r="C124" s="40" t="inlineStr">
        <is>
          <t>SIM-30</t>
        </is>
      </c>
      <c r="D124" s="40" t="inlineStr">
        <is>
          <t>Sí</t>
        </is>
      </c>
      <c r="E124" s="40" t="inlineStr">
        <is>
          <t>Asistió</t>
        </is>
      </c>
      <c r="F124" s="40" t="n"/>
      <c r="G124" s="40" t="inlineStr">
        <is>
          <t>Sí</t>
        </is>
      </c>
      <c r="H124" s="67">
        <f>IF(B124="","",IF(OR(C124="",E124=""),"Faltan datos",IF(COUNTIF(Pacientes!$A$2:$A$46,C124)=0,"Código no registrado","OK")))</f>
        <v/>
      </c>
    </row>
    <row r="125" ht="15" customHeight="1" s="27">
      <c r="A125" s="39">
        <f>IF(B125="","",ROW()-2)</f>
        <v/>
      </c>
      <c r="B125" s="50" t="n">
        <v>46293</v>
      </c>
      <c r="C125" s="40" t="inlineStr">
        <is>
          <t>SIM-24</t>
        </is>
      </c>
      <c r="D125" s="40" t="inlineStr">
        <is>
          <t>Sí</t>
        </is>
      </c>
      <c r="E125" s="40" t="inlineStr">
        <is>
          <t>Asistió</t>
        </is>
      </c>
      <c r="F125" s="40" t="n"/>
      <c r="G125" s="40" t="inlineStr">
        <is>
          <t>Sí</t>
        </is>
      </c>
      <c r="H125" s="67">
        <f>IF(B125="","",IF(OR(C125="",E125=""),"Faltan datos",IF(COUNTIF(Pacientes!$A$2:$A$46,C125)=0,"Código no registrado","OK")))</f>
        <v/>
      </c>
    </row>
    <row r="126" ht="15" customHeight="1" s="27">
      <c r="A126" s="39">
        <f>IF(B126="","",ROW()-2)</f>
        <v/>
      </c>
      <c r="B126" s="50" t="n">
        <v>46293</v>
      </c>
      <c r="C126" s="40" t="inlineStr">
        <is>
          <t>SIM-27</t>
        </is>
      </c>
      <c r="D126" s="40" t="inlineStr">
        <is>
          <t>Sí</t>
        </is>
      </c>
      <c r="E126" s="40" t="inlineStr">
        <is>
          <t>Asistió</t>
        </is>
      </c>
      <c r="F126" s="40" t="n"/>
      <c r="G126" s="40" t="inlineStr">
        <is>
          <t>Sí</t>
        </is>
      </c>
      <c r="H126" s="67">
        <f>IF(B126="","",IF(OR(C126="",E126=""),"Faltan datos",IF(COUNTIF(Pacientes!$A$2:$A$46,C126)=0,"Código no registrado","OK")))</f>
        <v/>
      </c>
    </row>
    <row r="127" ht="15" customHeight="1" s="27">
      <c r="A127" s="39">
        <f>IF(B127="","",ROW()-2)</f>
        <v/>
      </c>
      <c r="B127" s="50" t="n">
        <v>46293</v>
      </c>
      <c r="C127" s="40" t="inlineStr">
        <is>
          <t>SIM-29</t>
        </is>
      </c>
      <c r="D127" s="40" t="inlineStr">
        <is>
          <t>Sí</t>
        </is>
      </c>
      <c r="E127" s="40" t="inlineStr">
        <is>
          <t>Asistió</t>
        </is>
      </c>
      <c r="F127" s="40" t="n"/>
      <c r="G127" s="40" t="inlineStr">
        <is>
          <t>Sí</t>
        </is>
      </c>
      <c r="H127" s="67">
        <f>IF(B127="","",IF(OR(C127="",E127=""),"Faltan datos",IF(COUNTIF(Pacientes!$A$2:$A$46,C127)=0,"Código no registrado","OK")))</f>
        <v/>
      </c>
    </row>
    <row r="128" ht="15" customHeight="1" s="27">
      <c r="A128" s="39">
        <f>IF(B128="","",ROW()-2)</f>
        <v/>
      </c>
      <c r="B128" s="50" t="n">
        <v>46293</v>
      </c>
      <c r="C128" s="40" t="inlineStr">
        <is>
          <t>SIM-19</t>
        </is>
      </c>
      <c r="D128" s="40" t="inlineStr">
        <is>
          <t>Sí</t>
        </is>
      </c>
      <c r="E128" s="40" t="inlineStr">
        <is>
          <t>Asistió</t>
        </is>
      </c>
      <c r="F128" s="40" t="n"/>
      <c r="G128" s="40" t="inlineStr">
        <is>
          <t>Sí</t>
        </is>
      </c>
      <c r="H128" s="67">
        <f>IF(B128="","",IF(OR(C128="",E128=""),"Faltan datos",IF(COUNTIF(Pacientes!$A$2:$A$46,C128)=0,"Código no registrado","OK")))</f>
        <v/>
      </c>
    </row>
    <row r="129" ht="15" customHeight="1" s="27">
      <c r="A129" s="39">
        <f>IF(B129="","",ROW()-2)</f>
        <v/>
      </c>
      <c r="B129" s="50" t="n">
        <v>46293</v>
      </c>
      <c r="C129" s="40" t="inlineStr">
        <is>
          <t>SIM-20</t>
        </is>
      </c>
      <c r="D129" s="40" t="inlineStr">
        <is>
          <t>Sí</t>
        </is>
      </c>
      <c r="E129" s="40" t="inlineStr">
        <is>
          <t>Asistió</t>
        </is>
      </c>
      <c r="F129" s="40" t="n"/>
      <c r="G129" s="40" t="inlineStr">
        <is>
          <t>Sí</t>
        </is>
      </c>
      <c r="H129" s="67">
        <f>IF(B129="","",IF(OR(C129="",E129=""),"Faltan datos",IF(COUNTIF(Pacientes!$A$2:$A$46,C129)=0,"Código no registrado","OK")))</f>
        <v/>
      </c>
    </row>
    <row r="130" ht="15" customHeight="1" s="27">
      <c r="A130" s="39">
        <f>IF(B130="","",ROW()-2)</f>
        <v/>
      </c>
      <c r="B130" s="50" t="n">
        <v>46293</v>
      </c>
      <c r="C130" s="40" t="inlineStr">
        <is>
          <t>SIM-24</t>
        </is>
      </c>
      <c r="D130" s="40" t="inlineStr">
        <is>
          <t>Sí</t>
        </is>
      </c>
      <c r="E130" s="40" t="inlineStr">
        <is>
          <t>Asistió</t>
        </is>
      </c>
      <c r="F130" s="40" t="n"/>
      <c r="G130" s="40" t="inlineStr">
        <is>
          <t>Sí</t>
        </is>
      </c>
      <c r="H130" s="67">
        <f>IF(B130="","",IF(OR(C130="",E130=""),"Faltan datos",IF(COUNTIF(Pacientes!$A$2:$A$46,C130)=0,"Código no registrado","OK")))</f>
        <v/>
      </c>
    </row>
    <row r="131" ht="15" customHeight="1" s="27">
      <c r="A131" s="39">
        <f>IF(B131="","",ROW()-2)</f>
        <v/>
      </c>
      <c r="B131" s="50" t="n">
        <v>46293</v>
      </c>
      <c r="C131" s="40" t="inlineStr">
        <is>
          <t>SIM-25</t>
        </is>
      </c>
      <c r="D131" s="40" t="inlineStr">
        <is>
          <t>Sí</t>
        </is>
      </c>
      <c r="E131" s="40" t="inlineStr">
        <is>
          <t>No asistió</t>
        </is>
      </c>
      <c r="F131" s="40" t="inlineStr">
        <is>
          <t>Sin aviso</t>
        </is>
      </c>
      <c r="G131" s="40" t="inlineStr">
        <is>
          <t>Sí</t>
        </is>
      </c>
      <c r="H131" s="67">
        <f>IF(B131="","",IF(OR(C131="",E131=""),"Faltan datos",IF(COUNTIF(Pacientes!$A$2:$A$46,C131)=0,"Código no registrado","OK")))</f>
        <v/>
      </c>
    </row>
    <row r="132" ht="15" customHeight="1" s="27">
      <c r="A132" s="39">
        <f>IF(B132="","",ROW()-2)</f>
        <v/>
      </c>
      <c r="B132" s="50" t="n">
        <v>46293</v>
      </c>
      <c r="C132" s="40" t="inlineStr">
        <is>
          <t>SIM-19</t>
        </is>
      </c>
      <c r="D132" s="40" t="inlineStr">
        <is>
          <t>Sí</t>
        </is>
      </c>
      <c r="E132" s="40" t="inlineStr">
        <is>
          <t>Asistió</t>
        </is>
      </c>
      <c r="F132" s="40" t="n"/>
      <c r="G132" s="40" t="inlineStr">
        <is>
          <t>Sí</t>
        </is>
      </c>
      <c r="H132" s="67">
        <f>IF(B132="","",IF(OR(C132="",E132=""),"Faltan datos",IF(COUNTIF(Pacientes!$A$2:$A$46,C132)=0,"Código no registrado","OK")))</f>
        <v/>
      </c>
    </row>
    <row r="133" ht="15" customHeight="1" s="27">
      <c r="A133" s="39">
        <f>IF(B133="","",ROW()-2)</f>
        <v/>
      </c>
      <c r="B133" s="50" t="n">
        <v>46293</v>
      </c>
      <c r="C133" s="40" t="inlineStr">
        <is>
          <t>SIM-01</t>
        </is>
      </c>
      <c r="D133" s="40" t="inlineStr">
        <is>
          <t>Sí</t>
        </is>
      </c>
      <c r="E133" s="40" t="inlineStr">
        <is>
          <t>Asistió</t>
        </is>
      </c>
      <c r="F133" s="40" t="n"/>
      <c r="G133" s="40" t="inlineStr">
        <is>
          <t>Sí</t>
        </is>
      </c>
      <c r="H133" s="67">
        <f>IF(B133="","",IF(OR(C133="",E133=""),"Faltan datos",IF(COUNTIF(Pacientes!$A$2:$A$46,C133)=0,"Código no registrado","OK")))</f>
        <v/>
      </c>
    </row>
    <row r="134" ht="15" customHeight="1" s="27">
      <c r="A134" s="39">
        <f>IF(B134="","",ROW()-2)</f>
        <v/>
      </c>
      <c r="B134" s="50" t="n">
        <v>46293</v>
      </c>
      <c r="C134" s="40" t="inlineStr">
        <is>
          <t>SIM-01</t>
        </is>
      </c>
      <c r="D134" s="40" t="inlineStr">
        <is>
          <t>Sí</t>
        </is>
      </c>
      <c r="E134" s="40" t="inlineStr">
        <is>
          <t>Asistió</t>
        </is>
      </c>
      <c r="F134" s="40" t="n"/>
      <c r="G134" s="40" t="inlineStr">
        <is>
          <t>Sí</t>
        </is>
      </c>
      <c r="H134" s="67">
        <f>IF(B134="","",IF(OR(C134="",E134=""),"Faltan datos",IF(COUNTIF(Pacientes!$A$2:$A$46,C134)=0,"Código no registrado","OK")))</f>
        <v/>
      </c>
    </row>
    <row r="135" ht="15" customHeight="1" s="27">
      <c r="A135" s="39">
        <f>IF(B135="","",ROW()-2)</f>
        <v/>
      </c>
      <c r="B135" s="50" t="n">
        <v>46295</v>
      </c>
      <c r="C135" s="40" t="inlineStr">
        <is>
          <t>SIM-14</t>
        </is>
      </c>
      <c r="D135" s="40" t="inlineStr">
        <is>
          <t>Sí</t>
        </is>
      </c>
      <c r="E135" s="40" t="inlineStr">
        <is>
          <t>Asistió</t>
        </is>
      </c>
      <c r="F135" s="40" t="n"/>
      <c r="G135" s="40" t="inlineStr">
        <is>
          <t>Sí</t>
        </is>
      </c>
      <c r="H135" s="67">
        <f>IF(B135="","",IF(OR(C135="",E135=""),"Faltan datos",IF(COUNTIF(Pacientes!$A$2:$A$46,C135)=0,"Código no registrado","OK")))</f>
        <v/>
      </c>
    </row>
    <row r="136" ht="15" customHeight="1" s="27">
      <c r="A136" s="39">
        <f>IF(B136="","",ROW()-2)</f>
        <v/>
      </c>
      <c r="B136" s="50" t="n">
        <v>46295</v>
      </c>
      <c r="C136" s="40" t="inlineStr">
        <is>
          <t>SIM-25</t>
        </is>
      </c>
      <c r="D136" s="40" t="inlineStr">
        <is>
          <t>Sí</t>
        </is>
      </c>
      <c r="E136" s="40" t="inlineStr">
        <is>
          <t>No asistió</t>
        </is>
      </c>
      <c r="F136" s="40" t="inlineStr">
        <is>
          <t>Sin aviso</t>
        </is>
      </c>
      <c r="G136" s="40" t="inlineStr">
        <is>
          <t>Sí</t>
        </is>
      </c>
      <c r="H136" s="67">
        <f>IF(B136="","",IF(OR(C136="",E136=""),"Faltan datos",IF(COUNTIF(Pacientes!$A$2:$A$46,C136)=0,"Código no registrado","OK")))</f>
        <v/>
      </c>
    </row>
    <row r="137" ht="15" customHeight="1" s="27">
      <c r="A137" s="39">
        <f>IF(B137="","",ROW()-2)</f>
        <v/>
      </c>
      <c r="B137" s="50" t="n">
        <v>46295</v>
      </c>
      <c r="C137" s="40" t="inlineStr">
        <is>
          <t>SIM-07</t>
        </is>
      </c>
      <c r="D137" s="40" t="inlineStr">
        <is>
          <t>Sí</t>
        </is>
      </c>
      <c r="E137" s="40" t="inlineStr">
        <is>
          <t>Asistió</t>
        </is>
      </c>
      <c r="F137" s="40" t="n"/>
      <c r="G137" s="40" t="inlineStr">
        <is>
          <t>Sí</t>
        </is>
      </c>
      <c r="H137" s="67">
        <f>IF(B137="","",IF(OR(C137="",E137=""),"Faltan datos",IF(COUNTIF(Pacientes!$A$2:$A$46,C137)=0,"Código no registrado","OK")))</f>
        <v/>
      </c>
    </row>
    <row r="138" ht="15" customHeight="1" s="27">
      <c r="A138" s="39">
        <f>IF(B138="","",ROW()-2)</f>
        <v/>
      </c>
      <c r="B138" s="50" t="n">
        <v>46295</v>
      </c>
      <c r="C138" s="40" t="inlineStr">
        <is>
          <t>SIM-18</t>
        </is>
      </c>
      <c r="D138" s="40" t="inlineStr">
        <is>
          <t>Sí</t>
        </is>
      </c>
      <c r="E138" s="40" t="inlineStr">
        <is>
          <t>Asistió</t>
        </is>
      </c>
      <c r="F138" s="40" t="n"/>
      <c r="G138" s="40" t="inlineStr">
        <is>
          <t>Sí</t>
        </is>
      </c>
      <c r="H138" s="67">
        <f>IF(B138="","",IF(OR(C138="",E138=""),"Faltan datos",IF(COUNTIF(Pacientes!$A$2:$A$46,C138)=0,"Código no registrado","OK")))</f>
        <v/>
      </c>
    </row>
    <row r="139" ht="15" customHeight="1" s="27">
      <c r="A139" s="39">
        <f>IF(B139="","",ROW()-2)</f>
        <v/>
      </c>
      <c r="B139" s="50" t="n">
        <v>46295</v>
      </c>
      <c r="C139" s="40" t="inlineStr">
        <is>
          <t>SIM-17</t>
        </is>
      </c>
      <c r="D139" s="40" t="inlineStr">
        <is>
          <t>Sí</t>
        </is>
      </c>
      <c r="E139" s="40" t="inlineStr">
        <is>
          <t>Asistió</t>
        </is>
      </c>
      <c r="F139" s="40" t="n"/>
      <c r="G139" s="40" t="inlineStr">
        <is>
          <t>Sí</t>
        </is>
      </c>
      <c r="H139" s="67">
        <f>IF(B139="","",IF(OR(C139="",E139=""),"Faltan datos",IF(COUNTIF(Pacientes!$A$2:$A$46,C139)=0,"Código no registrado","OK")))</f>
        <v/>
      </c>
    </row>
    <row r="140" ht="15" customHeight="1" s="27">
      <c r="A140" s="39">
        <f>IF(B140="","",ROW()-2)</f>
        <v/>
      </c>
      <c r="B140" s="50" t="n">
        <v>46295</v>
      </c>
      <c r="C140" s="40" t="inlineStr">
        <is>
          <t>SIM-27</t>
        </is>
      </c>
      <c r="D140" s="40" t="inlineStr">
        <is>
          <t>Sí</t>
        </is>
      </c>
      <c r="E140" s="40" t="inlineStr">
        <is>
          <t>No asistió</t>
        </is>
      </c>
      <c r="F140" s="40" t="inlineStr">
        <is>
          <t>Sin aviso</t>
        </is>
      </c>
      <c r="G140" s="40" t="inlineStr">
        <is>
          <t>Sí</t>
        </is>
      </c>
      <c r="H140" s="67">
        <f>IF(B140="","",IF(OR(C140="",E140=""),"Faltan datos",IF(COUNTIF(Pacientes!$A$2:$A$46,C140)=0,"Código no registrado","OK")))</f>
        <v/>
      </c>
    </row>
    <row r="141" ht="15" customHeight="1" s="27">
      <c r="A141" s="39">
        <f>IF(B141="","",ROW()-2)</f>
        <v/>
      </c>
      <c r="B141" s="50" t="n">
        <v>46295</v>
      </c>
      <c r="C141" s="40" t="inlineStr">
        <is>
          <t>SIM-23</t>
        </is>
      </c>
      <c r="D141" s="40" t="inlineStr">
        <is>
          <t>Sí</t>
        </is>
      </c>
      <c r="E141" s="40" t="inlineStr">
        <is>
          <t>Reprogramada</t>
        </is>
      </c>
      <c r="F141" s="40" t="inlineStr">
        <is>
          <t>Aviso previo</t>
        </is>
      </c>
      <c r="G141" s="40" t="inlineStr">
        <is>
          <t>Sí</t>
        </is>
      </c>
      <c r="H141" s="67">
        <f>IF(B141="","",IF(OR(C141="",E141=""),"Faltan datos",IF(COUNTIF(Pacientes!$A$2:$A$46,C141)=0,"Código no registrado","OK")))</f>
        <v/>
      </c>
    </row>
    <row r="142" ht="15" customHeight="1" s="27">
      <c r="A142" s="39">
        <f>IF(B142="","",ROW()-2)</f>
        <v/>
      </c>
      <c r="B142" s="50" t="n">
        <v>46295</v>
      </c>
      <c r="C142" s="40" t="inlineStr">
        <is>
          <t>SIM-16</t>
        </is>
      </c>
      <c r="D142" s="40" t="inlineStr">
        <is>
          <t>Sí</t>
        </is>
      </c>
      <c r="E142" s="40" t="inlineStr">
        <is>
          <t>Asistió</t>
        </is>
      </c>
      <c r="F142" s="40" t="n"/>
      <c r="G142" s="40" t="inlineStr">
        <is>
          <t>Sí</t>
        </is>
      </c>
      <c r="H142" s="67">
        <f>IF(B142="","",IF(OR(C142="",E142=""),"Faltan datos",IF(COUNTIF(Pacientes!$A$2:$A$46,C142)=0,"Código no registrado","OK")))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67">
        <f>IF(B143="","",IF(OR(C143="",E143=""),"Faltan datos",IF(COUNTIF(Pacientes!$A$2:$A$46,C143)=0,"Código no registrado","OK")))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67">
        <f>IF(B144="","",IF(OR(C144="",E144=""),"Faltan datos",IF(COUNTIF(Pacientes!$A$2:$A$46,C144)=0,"Código no registrado","OK")))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67">
        <f>IF(B145="","",IF(OR(C145="",E145=""),"Faltan datos",IF(COUNTIF(Pacientes!$A$2:$A$46,C145)=0,"Código no registrado","OK")))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67">
        <f>IF(B146="","",IF(OR(C146="",E146=""),"Faltan datos",IF(COUNTIF(Pacientes!$A$2:$A$46,C146)=0,"Código no registrado","OK")))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67">
        <f>IF(B147="","",IF(OR(C147="",E147=""),"Faltan datos",IF(COUNTIF(Pacientes!$A$2:$A$46,C147)=0,"Código no registrado","OK")))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67">
        <f>IF(B148="","",IF(OR(C148="",E148=""),"Faltan datos",IF(COUNTIF(Pacientes!$A$2:$A$46,C148)=0,"Código no registrado","OK")))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67">
        <f>IF(B149="","",IF(OR(C149="",E149=""),"Faltan datos",IF(COUNTIF(Pacientes!$A$2:$A$46,C149)=0,"Código no registrado","OK")))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67">
        <f>IF(B150="","",IF(OR(C150="",E150=""),"Faltan datos",IF(COUNTIF(Pacientes!$A$2:$A$46,C150)=0,"Código no registrado","OK")))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67">
        <f>IF(B151="","",IF(OR(C151="",E151=""),"Faltan datos",IF(COUNTIF(Pacientes!$A$2:$A$46,C151)=0,"Código no registrado","OK")))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67">
        <f>IF(B152="","",IF(OR(C152="",E152=""),"Faltan datos",IF(COUNTIF(Pacientes!$A$2:$A$46,C152)=0,"Código no registrado","OK")))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67">
        <f>IF(B153="","",IF(OR(C153="",E153=""),"Faltan datos",IF(COUNTIF(Pacientes!$A$2:$A$46,C153)=0,"Código no registrado","OK")))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67">
        <f>IF(B154="","",IF(OR(C154="",E154=""),"Faltan datos",IF(COUNTIF(Pacientes!$A$2:$A$46,C154)=0,"Código no registrado","OK")))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67">
        <f>IF(B155="","",IF(OR(C155="",E155=""),"Faltan datos",IF(COUNTIF(Pacientes!$A$2:$A$46,C155)=0,"Código no registrado","OK")))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67">
        <f>IF(B156="","",IF(OR(C156="",E156=""),"Faltan datos",IF(COUNTIF(Pacientes!$A$2:$A$46,C156)=0,"Código no registrado","OK")))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67">
        <f>IF(B157="","",IF(OR(C157="",E157=""),"Faltan datos",IF(COUNTIF(Pacientes!$A$2:$A$46,C157)=0,"Código no registrado","OK")))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67">
        <f>IF(B158="","",IF(OR(C158="",E158=""),"Faltan datos",IF(COUNTIF(Pacientes!$A$2:$A$46,C158)=0,"Código no registrado","OK")))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67">
        <f>IF(B159="","",IF(OR(C159="",E159=""),"Faltan datos",IF(COUNTIF(Pacientes!$A$2:$A$46,C159)=0,"Código no registrado","OK")))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67">
        <f>IF(B160="","",IF(OR(C160="",E160=""),"Faltan datos",IF(COUNTIF(Pacientes!$A$2:$A$46,C160)=0,"Código no registrado","OK")))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67">
        <f>IF(B161="","",IF(OR(C161="",E161=""),"Faltan datos",IF(COUNTIF(Pacientes!$A$2:$A$46,C161)=0,"Código no registrado","OK")))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67">
        <f>IF(B162="","",IF(OR(C162="",E162=""),"Faltan datos",IF(COUNTIF(Pacientes!$A$2:$A$46,C162)=0,"Código no registrado","OK")))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67">
        <f>IF(B163="","",IF(OR(C163="",E163=""),"Faltan datos",IF(COUNTIF(Pacientes!$A$2:$A$46,C163)=0,"Código no registrado","OK")))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67">
        <f>IF(B164="","",IF(OR(C164="",E164=""),"Faltan datos",IF(COUNTIF(Pacientes!$A$2:$A$46,C164)=0,"Código no registrado","OK")))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67">
        <f>IF(B165="","",IF(OR(C165="",E165=""),"Faltan datos",IF(COUNTIF(Pacientes!$A$2:$A$46,C165)=0,"Código no registrado","OK")))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67">
        <f>IF(B166="","",IF(OR(C166="",E166=""),"Faltan datos",IF(COUNTIF(Pacientes!$A$2:$A$46,C166)=0,"Código no registrado","OK")))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67">
        <f>IF(B167="","",IF(OR(C167="",E167=""),"Faltan datos",IF(COUNTIF(Pacientes!$A$2:$A$46,C167)=0,"Código no registrado","OK")))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67">
        <f>IF(B168="","",IF(OR(C168="",E168=""),"Faltan datos",IF(COUNTIF(Pacientes!$A$2:$A$46,C168)=0,"Código no registrado","OK")))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67">
        <f>IF(B169="","",IF(OR(C169="",E169=""),"Faltan datos",IF(COUNTIF(Pacientes!$A$2:$A$46,C169)=0,"Código no registrado","OK")))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67">
        <f>IF(B170="","",IF(OR(C170="",E170=""),"Faltan datos",IF(COUNTIF(Pacientes!$A$2:$A$46,C170)=0,"Código no registrado","OK")))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67">
        <f>IF(B171="","",IF(OR(C171="",E171=""),"Faltan datos",IF(COUNTIF(Pacientes!$A$2:$A$46,C171)=0,"Código no registrado","OK")))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67">
        <f>IF(B172="","",IF(OR(C172="",E172=""),"Faltan datos",IF(COUNTIF(Pacientes!$A$2:$A$46,C172)=0,"Código no registrado","OK")))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67">
        <f>IF(B173="","",IF(OR(C173="",E173=""),"Faltan datos",IF(COUNTIF(Pacientes!$A$2:$A$46,C173)=0,"Código no registrado","OK")))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67">
        <f>IF(B174="","",IF(OR(C174="",E174=""),"Faltan datos",IF(COUNTIF(Pacientes!$A$2:$A$46,C174)=0,"Código no registrado","OK")))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67">
        <f>IF(B175="","",IF(OR(C175="",E175=""),"Faltan datos",IF(COUNTIF(Pacientes!$A$2:$A$46,C175)=0,"Código no registrado","OK")))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67">
        <f>IF(B176="","",IF(OR(C176="",E176=""),"Faltan datos",IF(COUNTIF(Pacientes!$A$2:$A$46,C176)=0,"Código no registrado","OK")))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67">
        <f>IF(B177="","",IF(OR(C177="",E177=""),"Faltan datos",IF(COUNTIF(Pacientes!$A$2:$A$46,C177)=0,"Código no registrado","OK")))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67">
        <f>IF(B178="","",IF(OR(C178="",E178=""),"Faltan datos",IF(COUNTIF(Pacientes!$A$2:$A$46,C178)=0,"Código no registrado","OK")))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67">
        <f>IF(B179="","",IF(OR(C179="",E179=""),"Faltan datos",IF(COUNTIF(Pacientes!$A$2:$A$46,C179)=0,"Código no registrado","OK")))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67">
        <f>IF(B180="","",IF(OR(C180="",E180=""),"Faltan datos",IF(COUNTIF(Pacientes!$A$2:$A$46,C180)=0,"Código no registrado","OK")))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67">
        <f>IF(B181="","",IF(OR(C181="",E181=""),"Faltan datos",IF(COUNTIF(Pacientes!$A$2:$A$46,C181)=0,"Código no registrado","OK")))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67">
        <f>IF(B182="","",IF(OR(C182="",E182=""),"Faltan datos",IF(COUNTIF(Pacientes!$A$2:$A$46,C182)=0,"Código no registrado","OK")))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67">
        <f>IF(B183="","",IF(OR(C183="",E183=""),"Faltan datos",IF(COUNTIF(Pacientes!$A$2:$A$46,C183)=0,"Código no registrado","OK")))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67">
        <f>IF(B184="","",IF(OR(C184="",E184=""),"Faltan datos",IF(COUNTIF(Pacientes!$A$2:$A$46,C184)=0,"Código no registrado","OK")))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67">
        <f>IF(B185="","",IF(OR(C185="",E185=""),"Faltan datos",IF(COUNTIF(Pacientes!$A$2:$A$46,C185)=0,"Código no registrado","OK")))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67">
        <f>IF(B186="","",IF(OR(C186="",E186=""),"Faltan datos",IF(COUNTIF(Pacientes!$A$2:$A$46,C186)=0,"Código no registrado","OK")))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67">
        <f>IF(B187="","",IF(OR(C187="",E187=""),"Faltan datos",IF(COUNTIF(Pacientes!$A$2:$A$46,C187)=0,"Código no registrado","OK")))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67">
        <f>IF(B188="","",IF(OR(C188="",E188=""),"Faltan datos",IF(COUNTIF(Pacientes!$A$2:$A$46,C188)=0,"Código no registrado","OK")))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67">
        <f>IF(B189="","",IF(OR(C189="",E189=""),"Faltan datos",IF(COUNTIF(Pacientes!$A$2:$A$46,C189)=0,"Código no registrado","OK")))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67">
        <f>IF(B190="","",IF(OR(C190="",E190=""),"Faltan datos",IF(COUNTIF(Pacientes!$A$2:$A$46,C190)=0,"Código no registrado","OK")))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67">
        <f>IF(B191="","",IF(OR(C191="",E191=""),"Faltan datos",IF(COUNTIF(Pacientes!$A$2:$A$46,C191)=0,"Código no registrado","OK")))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67">
        <f>IF(B192="","",IF(OR(C192="",E192=""),"Faltan datos",IF(COUNTIF(Pacientes!$A$2:$A$46,C192)=0,"Código no registrado","OK")))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67">
        <f>IF(B193="","",IF(OR(C193="",E193=""),"Faltan datos",IF(COUNTIF(Pacientes!$A$2:$A$46,C193)=0,"Código no registrado","OK")))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67">
        <f>IF(B194="","",IF(OR(C194="",E194=""),"Faltan datos",IF(COUNTIF(Pacientes!$A$2:$A$46,C194)=0,"Código no registrado","OK")))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67">
        <f>IF(B195="","",IF(OR(C195="",E195=""),"Faltan datos",IF(COUNTIF(Pacientes!$A$2:$A$46,C195)=0,"Código no registrado","OK")))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67">
        <f>IF(B196="","",IF(OR(C196="",E196=""),"Faltan datos",IF(COUNTIF(Pacientes!$A$2:$A$46,C196)=0,"Código no registrado","OK")))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67">
        <f>IF(B197="","",IF(OR(C197="",E197=""),"Faltan datos",IF(COUNTIF(Pacientes!$A$2:$A$46,C197)=0,"Código no registrado","OK")))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67">
        <f>IF(B198="","",IF(OR(C198="",E198=""),"Faltan datos",IF(COUNTIF(Pacientes!$A$2:$A$46,C198)=0,"Código no registrado","OK")))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67">
        <f>IF(B199="","",IF(OR(C199="",E199=""),"Faltan datos",IF(COUNTIF(Pacientes!$A$2:$A$46,C199)=0,"Código no registrado","OK")))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67">
        <f>IF(B200="","",IF(OR(C200="",E200=""),"Faltan datos",IF(COUNTIF(Pacientes!$A$2:$A$46,C200)=0,"Código no registrado","OK")))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67">
        <f>IF(B201="","",IF(OR(C201="",E201=""),"Faltan datos",IF(COUNTIF(Pacientes!$A$2:$A$46,C201)=0,"Código no registrado","OK")))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67">
        <f>IF(B202="","",IF(OR(C202="",E202=""),"Faltan datos",IF(COUNTIF(Pacientes!$A$2:$A$46,C202)=0,"Código no registrado","OK")))</f>
        <v/>
      </c>
    </row>
  </sheetData>
  <conditionalFormatting sqref="H3:H202">
    <cfRule type="expression" priority="1" dxfId="0">
      <formula>AND(H3&lt;&gt;"",H3&lt;&gt;"OK")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  <col width="26" customWidth="1" style="27" min="9" max="9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  <c r="I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Presencial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>
        <v>46237</v>
      </c>
      <c r="C3" s="40" t="inlineStr">
        <is>
          <t>SIM-02</t>
        </is>
      </c>
      <c r="D3" s="40" t="inlineStr">
        <is>
          <t>Citas</t>
        </is>
      </c>
      <c r="E3" s="40" t="inlineStr">
        <is>
          <t>Presencial</t>
        </is>
      </c>
      <c r="F3" s="40" t="inlineStr">
        <is>
          <t>No</t>
        </is>
      </c>
      <c r="G3" s="40" t="inlineStr">
        <is>
          <t>Sí</t>
        </is>
      </c>
      <c r="H3" s="54" t="n">
        <v>6.2</v>
      </c>
      <c r="I3" s="67">
        <f>IF(B3="","",IF(OR(D3="",F3="",G3=""),"Faltan datos",IF(AND(C3&lt;&gt;"",COUNTIF(Pacientes!$A$2:$A$46,C3)=0),"Código no registrado",IF(AND(F3="Sí",G3="Sí"),"Contradicción: resuelta y derivada","OK"))))</f>
        <v/>
      </c>
    </row>
    <row r="4" ht="15" customHeight="1" s="27">
      <c r="A4" s="39">
        <f>IF(B4="","",ROW()-2)</f>
        <v/>
      </c>
      <c r="B4" s="50" t="n">
        <v>46237</v>
      </c>
      <c r="C4" s="40" t="n"/>
      <c r="D4" s="40" t="inlineStr">
        <is>
          <t>Otro</t>
        </is>
      </c>
      <c r="E4" s="40" t="inlineStr">
        <is>
          <t>Telefónico</t>
        </is>
      </c>
      <c r="F4" s="40" t="inlineStr">
        <is>
          <t>No</t>
        </is>
      </c>
      <c r="G4" s="40" t="inlineStr">
        <is>
          <t>Sí</t>
        </is>
      </c>
      <c r="H4" s="54" t="n">
        <v>8.6</v>
      </c>
      <c r="I4" s="67">
        <f>IF(B4="","",IF(OR(D4="",F4="",G4=""),"Faltan datos",IF(AND(C4&lt;&gt;"",COUNTIF(Pacientes!$A$2:$A$46,C4)=0),"Código no registrado",IF(AND(F4="Sí",G4="Sí"),"Contradicción: resuelta y derivada","OK"))))</f>
        <v/>
      </c>
    </row>
    <row r="5" ht="15" customHeight="1" s="27">
      <c r="A5" s="39">
        <f>IF(B5="","",ROW()-2)</f>
        <v/>
      </c>
      <c r="B5" s="50" t="n">
        <v>46237</v>
      </c>
      <c r="C5" s="40" t="inlineStr">
        <is>
          <t>SIM-04</t>
        </is>
      </c>
      <c r="D5" s="40" t="inlineStr">
        <is>
          <t>Ubicación</t>
        </is>
      </c>
      <c r="E5" s="40" t="inlineStr">
        <is>
          <t>Presencial</t>
        </is>
      </c>
      <c r="F5" s="40" t="inlineStr">
        <is>
          <t>No</t>
        </is>
      </c>
      <c r="G5" s="40" t="inlineStr">
        <is>
          <t>Sí</t>
        </is>
      </c>
      <c r="H5" s="54" t="n">
        <v>7.3</v>
      </c>
      <c r="I5" s="67">
        <f>IF(B5="","",IF(OR(D5="",F5="",G5=""),"Faltan datos",IF(AND(C5&lt;&gt;"",COUNTIF(Pacientes!$A$2:$A$46,C5)=0),"Código no registrado",IF(AND(F5="Sí",G5="Sí"),"Contradicción: resuelta y derivada","OK"))))</f>
        <v/>
      </c>
    </row>
    <row r="6" ht="15" customHeight="1" s="27">
      <c r="A6" s="39">
        <f>IF(B6="","",ROW()-2)</f>
        <v/>
      </c>
      <c r="B6" s="50" t="n">
        <v>46237</v>
      </c>
      <c r="C6" s="40" t="inlineStr">
        <is>
          <t>SIM-03</t>
        </is>
      </c>
      <c r="D6" s="40" t="inlineStr">
        <is>
          <t>Información institucional</t>
        </is>
      </c>
      <c r="E6" s="40" t="inlineStr">
        <is>
          <t>WhatsApp institucional</t>
        </is>
      </c>
      <c r="F6" s="40" t="inlineStr">
        <is>
          <t>No</t>
        </is>
      </c>
      <c r="G6" s="40" t="inlineStr">
        <is>
          <t>Sí</t>
        </is>
      </c>
      <c r="H6" s="54" t="n">
        <v>18.7</v>
      </c>
      <c r="I6" s="67">
        <f>IF(B6="","",IF(OR(D6="",F6="",G6=""),"Faltan datos",IF(AND(C6&lt;&gt;"",COUNTIF(Pacientes!$A$2:$A$46,C6)=0),"Código no registrado",IF(AND(F6="Sí",G6="Sí"),"Contradicción: resuelta y derivada","OK"))))</f>
        <v/>
      </c>
    </row>
    <row r="7" ht="15" customHeight="1" s="27">
      <c r="A7" s="39">
        <f>IF(B7="","",ROW()-2)</f>
        <v/>
      </c>
      <c r="B7" s="50" t="n">
        <v>46237</v>
      </c>
      <c r="C7" s="40" t="inlineStr">
        <is>
          <t>SIM-15</t>
        </is>
      </c>
      <c r="D7" s="40" t="inlineStr">
        <is>
          <t>Horarios</t>
        </is>
      </c>
      <c r="E7" s="40" t="inlineStr">
        <is>
          <t>Presencial</t>
        </is>
      </c>
      <c r="F7" s="40" t="inlineStr">
        <is>
          <t>No</t>
        </is>
      </c>
      <c r="G7" s="40" t="inlineStr">
        <is>
          <t>Sí</t>
        </is>
      </c>
      <c r="H7" s="54" t="n">
        <v>10.2</v>
      </c>
      <c r="I7" s="67">
        <f>IF(B7="","",IF(OR(D7="",F7="",G7=""),"Faltan datos",IF(AND(C7&lt;&gt;"",COUNTIF(Pacientes!$A$2:$A$46,C7)=0),"Código no registrado",IF(AND(F7="Sí",G7="Sí"),"Contradicción: resuelta y derivada","OK"))))</f>
        <v/>
      </c>
    </row>
    <row r="8" ht="15" customHeight="1" s="27">
      <c r="A8" s="39">
        <f>IF(B8="","",ROW()-2)</f>
        <v/>
      </c>
      <c r="B8" s="50" t="n">
        <v>46237</v>
      </c>
      <c r="C8" s="40" t="inlineStr">
        <is>
          <t>SIM-26</t>
        </is>
      </c>
      <c r="D8" s="40" t="inlineStr">
        <is>
          <t>Información institucional</t>
        </is>
      </c>
      <c r="E8" s="40" t="inlineStr">
        <is>
          <t>WhatsApp institucional</t>
        </is>
      </c>
      <c r="F8" s="40" t="inlineStr">
        <is>
          <t>Sí</t>
        </is>
      </c>
      <c r="G8" s="40" t="inlineStr">
        <is>
          <t>No</t>
        </is>
      </c>
      <c r="H8" s="54" t="n">
        <v>8.5</v>
      </c>
      <c r="I8" s="67">
        <f>IF(B8="","",IF(OR(D8="",F8="",G8=""),"Faltan datos",IF(AND(C8&lt;&gt;"",COUNTIF(Pacientes!$A$2:$A$46,C8)=0),"Código no registrado",IF(AND(F8="Sí",G8="Sí"),"Contradicción: resuelta y derivada","OK"))))</f>
        <v/>
      </c>
    </row>
    <row r="9" ht="15" customHeight="1" s="27">
      <c r="A9" s="39">
        <f>IF(B9="","",ROW()-2)</f>
        <v/>
      </c>
      <c r="B9" s="50" t="n">
        <v>46237</v>
      </c>
      <c r="C9" s="40" t="inlineStr">
        <is>
          <t>SIM-22</t>
        </is>
      </c>
      <c r="D9" s="40" t="inlineStr">
        <is>
          <t>Ubicación</t>
        </is>
      </c>
      <c r="E9" s="40" t="inlineStr">
        <is>
          <t>Telefónico</t>
        </is>
      </c>
      <c r="F9" s="40" t="inlineStr">
        <is>
          <t>No</t>
        </is>
      </c>
      <c r="G9" s="40" t="inlineStr">
        <is>
          <t>Sí</t>
        </is>
      </c>
      <c r="H9" s="54" t="n">
        <v>16</v>
      </c>
      <c r="I9" s="67">
        <f>IF(B9="","",IF(OR(D9="",F9="",G9=""),"Faltan datos",IF(AND(C9&lt;&gt;"",COUNTIF(Pacientes!$A$2:$A$46,C9)=0),"Código no registrado",IF(AND(F9="Sí",G9="Sí"),"Contradicción: resuelta y derivada","OK"))))</f>
        <v/>
      </c>
    </row>
    <row r="10" ht="15" customHeight="1" s="27">
      <c r="A10" s="39">
        <f>IF(B10="","",ROW()-2)</f>
        <v/>
      </c>
      <c r="B10" s="50" t="n">
        <v>46237</v>
      </c>
      <c r="C10" s="40" t="inlineStr">
        <is>
          <t>SIM-06</t>
        </is>
      </c>
      <c r="D10" s="40" t="inlineStr">
        <is>
          <t>Ubicación</t>
        </is>
      </c>
      <c r="E10" s="40" t="inlineStr">
        <is>
          <t>Presencial</t>
        </is>
      </c>
      <c r="F10" s="40" t="inlineStr">
        <is>
          <t>Sí</t>
        </is>
      </c>
      <c r="G10" s="40" t="inlineStr">
        <is>
          <t>No</t>
        </is>
      </c>
      <c r="H10" s="54" t="n">
        <v>15.3</v>
      </c>
      <c r="I10" s="67">
        <f>IF(B10="","",IF(OR(D10="",F10="",G10=""),"Faltan datos",IF(AND(C10&lt;&gt;"",COUNTIF(Pacientes!$A$2:$A$46,C10)=0),"Código no registrado",IF(AND(F10="Sí",G10="Sí"),"Contradicción: resuelta y derivada","OK"))))</f>
        <v/>
      </c>
    </row>
    <row r="11" ht="15" customHeight="1" s="27">
      <c r="A11" s="39">
        <f>IF(B11="","",ROW()-2)</f>
        <v/>
      </c>
      <c r="B11" s="50" t="n">
        <v>46237</v>
      </c>
      <c r="C11" s="40" t="inlineStr">
        <is>
          <t>SIM-29</t>
        </is>
      </c>
      <c r="D11" s="40" t="inlineStr">
        <is>
          <t>Citas</t>
        </is>
      </c>
      <c r="E11" s="40" t="inlineStr">
        <is>
          <t>Presencial</t>
        </is>
      </c>
      <c r="F11" s="40" t="inlineStr">
        <is>
          <t>Sí</t>
        </is>
      </c>
      <c r="G11" s="40" t="inlineStr">
        <is>
          <t>No</t>
        </is>
      </c>
      <c r="H11" s="54" t="n">
        <v>10.3</v>
      </c>
      <c r="I11" s="67">
        <f>IF(B11="","",IF(OR(D11="",F11="",G11=""),"Faltan datos",IF(AND(C11&lt;&gt;"",COUNTIF(Pacientes!$A$2:$A$46,C11)=0),"Código no registrado",IF(AND(F11="Sí",G11="Sí"),"Contradicción: resuelta y derivada","OK"))))</f>
        <v/>
      </c>
    </row>
    <row r="12" ht="15" customHeight="1" s="27">
      <c r="A12" s="39">
        <f>IF(B12="","",ROW()-2)</f>
        <v/>
      </c>
      <c r="B12" s="50" t="n">
        <v>46239</v>
      </c>
      <c r="C12" s="40" t="inlineStr">
        <is>
          <t>SIM-05</t>
        </is>
      </c>
      <c r="D12" s="40" t="inlineStr">
        <is>
          <t>Requisitos</t>
        </is>
      </c>
      <c r="E12" s="40" t="inlineStr">
        <is>
          <t>Presencial</t>
        </is>
      </c>
      <c r="F12" s="40" t="inlineStr">
        <is>
          <t>No</t>
        </is>
      </c>
      <c r="G12" s="40" t="inlineStr">
        <is>
          <t>Sí</t>
        </is>
      </c>
      <c r="H12" s="54" t="n">
        <v>9.6</v>
      </c>
      <c r="I12" s="67">
        <f>IF(B12="","",IF(OR(D12="",F12="",G12=""),"Faltan datos",IF(AND(C12&lt;&gt;"",COUNTIF(Pacientes!$A$2:$A$46,C12)=0),"Código no registrado",IF(AND(F12="Sí",G12="Sí"),"Contradicción: resuelta y derivada","OK"))))</f>
        <v/>
      </c>
    </row>
    <row r="13" ht="15" customHeight="1" s="27">
      <c r="A13" s="39">
        <f>IF(B13="","",ROW()-2)</f>
        <v/>
      </c>
      <c r="B13" s="50" t="n">
        <v>46239</v>
      </c>
      <c r="C13" s="40" t="inlineStr">
        <is>
          <t>SIM-26</t>
        </is>
      </c>
      <c r="D13" s="40" t="inlineStr">
        <is>
          <t>Citas</t>
        </is>
      </c>
      <c r="E13" s="40" t="inlineStr">
        <is>
          <t>Telefónico</t>
        </is>
      </c>
      <c r="F13" s="40" t="inlineStr">
        <is>
          <t>Sí</t>
        </is>
      </c>
      <c r="G13" s="40" t="inlineStr">
        <is>
          <t>No</t>
        </is>
      </c>
      <c r="H13" s="54" t="n">
        <v>19.5</v>
      </c>
      <c r="I13" s="67">
        <f>IF(B13="","",IF(OR(D13="",F13="",G13=""),"Faltan datos",IF(AND(C13&lt;&gt;"",COUNTIF(Pacientes!$A$2:$A$46,C13)=0),"Código no registrado",IF(AND(F13="Sí",G13="Sí"),"Contradicción: resuelta y derivada","OK"))))</f>
        <v/>
      </c>
    </row>
    <row r="14" ht="15" customHeight="1" s="27">
      <c r="A14" s="39">
        <f>IF(B14="","",ROW()-2)</f>
        <v/>
      </c>
      <c r="B14" s="50" t="n">
        <v>46239</v>
      </c>
      <c r="C14" s="40" t="inlineStr">
        <is>
          <t>SIM-23</t>
        </is>
      </c>
      <c r="D14" s="40" t="inlineStr">
        <is>
          <t>Citas</t>
        </is>
      </c>
      <c r="E14" s="40" t="inlineStr">
        <is>
          <t>WhatsApp institucional</t>
        </is>
      </c>
      <c r="F14" s="40" t="inlineStr">
        <is>
          <t>Sí</t>
        </is>
      </c>
      <c r="G14" s="40" t="inlineStr">
        <is>
          <t>No</t>
        </is>
      </c>
      <c r="H14" s="54" t="n">
        <v>11.8</v>
      </c>
      <c r="I14" s="67">
        <f>IF(B14="","",IF(OR(D14="",F14="",G14=""),"Faltan datos",IF(AND(C14&lt;&gt;"",COUNTIF(Pacientes!$A$2:$A$46,C14)=0),"Código no registrado",IF(AND(F14="Sí",G14="Sí"),"Contradicción: resuelta y derivada","OK"))))</f>
        <v/>
      </c>
    </row>
    <row r="15" ht="15" customHeight="1" s="27">
      <c r="A15" s="39">
        <f>IF(B15="","",ROW()-2)</f>
        <v/>
      </c>
      <c r="B15" s="50" t="n">
        <v>46239</v>
      </c>
      <c r="C15" s="40" t="inlineStr">
        <is>
          <t>SIM-20</t>
        </is>
      </c>
      <c r="D15" s="40" t="inlineStr">
        <is>
          <t>Otro</t>
        </is>
      </c>
      <c r="E15" s="40" t="inlineStr">
        <is>
          <t>Telefónico</t>
        </is>
      </c>
      <c r="F15" s="40" t="inlineStr">
        <is>
          <t>Sí</t>
        </is>
      </c>
      <c r="G15" s="40" t="inlineStr">
        <is>
          <t>No</t>
        </is>
      </c>
      <c r="H15" s="54" t="n">
        <v>12.7</v>
      </c>
      <c r="I15" s="67">
        <f>IF(B15="","",IF(OR(D15="",F15="",G15=""),"Faltan datos",IF(AND(C15&lt;&gt;"",COUNTIF(Pacientes!$A$2:$A$46,C15)=0),"Código no registrado",IF(AND(F15="Sí",G15="Sí"),"Contradicción: resuelta y derivada","OK"))))</f>
        <v/>
      </c>
    </row>
    <row r="16" ht="15" customHeight="1" s="27">
      <c r="A16" s="39">
        <f>IF(B16="","",ROW()-2)</f>
        <v/>
      </c>
      <c r="B16" s="50" t="n">
        <v>46239</v>
      </c>
      <c r="C16" s="40" t="n"/>
      <c r="D16" s="40" t="inlineStr">
        <is>
          <t>Seguimiento administrativo</t>
        </is>
      </c>
      <c r="E16" s="40" t="inlineStr">
        <is>
          <t>Telefónico</t>
        </is>
      </c>
      <c r="F16" s="40" t="inlineStr">
        <is>
          <t>Sí</t>
        </is>
      </c>
      <c r="G16" s="40" t="inlineStr">
        <is>
          <t>No</t>
        </is>
      </c>
      <c r="H16" s="54" t="n">
        <v>9.9</v>
      </c>
      <c r="I16" s="67">
        <f>IF(B16="","",IF(OR(D16="",F16="",G16=""),"Faltan datos",IF(AND(C16&lt;&gt;"",COUNTIF(Pacientes!$A$2:$A$46,C16)=0),"Código no registrado",IF(AND(F16="Sí",G16="Sí"),"Contradicción: resuelta y derivada","OK"))))</f>
        <v/>
      </c>
    </row>
    <row r="17" ht="15" customHeight="1" s="27">
      <c r="A17" s="39">
        <f>IF(B17="","",ROW()-2)</f>
        <v/>
      </c>
      <c r="B17" s="50" t="n">
        <v>46239</v>
      </c>
      <c r="C17" s="40" t="inlineStr">
        <is>
          <t>SIM-12</t>
        </is>
      </c>
      <c r="D17" s="40" t="inlineStr">
        <is>
          <t>Horarios</t>
        </is>
      </c>
      <c r="E17" s="40" t="inlineStr">
        <is>
          <t>Telefónico</t>
        </is>
      </c>
      <c r="F17" s="40" t="inlineStr">
        <is>
          <t>No</t>
        </is>
      </c>
      <c r="G17" s="40" t="inlineStr">
        <is>
          <t>No</t>
        </is>
      </c>
      <c r="H17" s="54" t="n">
        <v>10.3</v>
      </c>
      <c r="I17" s="67">
        <f>IF(B17="","",IF(OR(D17="",F17="",G17=""),"Faltan datos",IF(AND(C17&lt;&gt;"",COUNTIF(Pacientes!$A$2:$A$46,C17)=0),"Código no registrado",IF(AND(F17="Sí",G17="Sí"),"Contradicción: resuelta y derivada","OK"))))</f>
        <v/>
      </c>
    </row>
    <row r="18" ht="15" customHeight="1" s="27">
      <c r="A18" s="39">
        <f>IF(B18="","",ROW()-2)</f>
        <v/>
      </c>
      <c r="B18" s="50" t="n">
        <v>46239</v>
      </c>
      <c r="C18" s="40" t="inlineStr">
        <is>
          <t>SIM-05</t>
        </is>
      </c>
      <c r="D18" s="40" t="inlineStr">
        <is>
          <t>Ubicación</t>
        </is>
      </c>
      <c r="E18" s="40" t="inlineStr">
        <is>
          <t>WhatsApp institucional</t>
        </is>
      </c>
      <c r="F18" s="40" t="inlineStr">
        <is>
          <t>No</t>
        </is>
      </c>
      <c r="G18" s="40" t="inlineStr">
        <is>
          <t>Sí</t>
        </is>
      </c>
      <c r="H18" s="54" t="n">
        <v>14.6</v>
      </c>
      <c r="I18" s="67">
        <f>IF(B18="","",IF(OR(D18="",F18="",G18=""),"Faltan datos",IF(AND(C18&lt;&gt;"",COUNTIF(Pacientes!$A$2:$A$46,C18)=0),"Código no registrado",IF(AND(F18="Sí",G18="Sí"),"Contradicción: resuelta y derivada","OK"))))</f>
        <v/>
      </c>
    </row>
    <row r="19" ht="15" customHeight="1" s="27">
      <c r="A19" s="39">
        <f>IF(B19="","",ROW()-2)</f>
        <v/>
      </c>
      <c r="B19" s="50" t="n">
        <v>46239</v>
      </c>
      <c r="C19" s="40" t="inlineStr">
        <is>
          <t>SIM-28</t>
        </is>
      </c>
      <c r="D19" s="40" t="inlineStr">
        <is>
          <t>Citas</t>
        </is>
      </c>
      <c r="E19" s="40" t="inlineStr">
        <is>
          <t>Presencial</t>
        </is>
      </c>
      <c r="F19" s="40" t="inlineStr">
        <is>
          <t>Sí</t>
        </is>
      </c>
      <c r="G19" s="40" t="inlineStr">
        <is>
          <t>No</t>
        </is>
      </c>
      <c r="H19" s="54" t="n">
        <v>17</v>
      </c>
      <c r="I19" s="67">
        <f>IF(B19="","",IF(OR(D19="",F19="",G19=""),"Faltan datos",IF(AND(C19&lt;&gt;"",COUNTIF(Pacientes!$A$2:$A$46,C19)=0),"Código no registrado",IF(AND(F19="Sí",G19="Sí"),"Contradicción: resuelta y derivada","OK"))))</f>
        <v/>
      </c>
    </row>
    <row r="20" ht="15" customHeight="1" s="27">
      <c r="A20" s="39">
        <f>IF(B20="","",ROW()-2)</f>
        <v/>
      </c>
      <c r="B20" s="50" t="n">
        <v>46239</v>
      </c>
      <c r="C20" s="40" t="n"/>
      <c r="D20" s="40" t="inlineStr">
        <is>
          <t>Información institucional</t>
        </is>
      </c>
      <c r="E20" s="40" t="inlineStr">
        <is>
          <t>WhatsApp institucional</t>
        </is>
      </c>
      <c r="F20" s="40" t="inlineStr">
        <is>
          <t>Sí</t>
        </is>
      </c>
      <c r="G20" s="40" t="inlineStr">
        <is>
          <t>No</t>
        </is>
      </c>
      <c r="H20" s="54" t="n">
        <v>14.6</v>
      </c>
      <c r="I20" s="67">
        <f>IF(B20="","",IF(OR(D20="",F20="",G20=""),"Faltan datos",IF(AND(C20&lt;&gt;"",COUNTIF(Pacientes!$A$2:$A$46,C20)=0),"Código no registrado",IF(AND(F20="Sí",G20="Sí"),"Contradicción: resuelta y derivada","OK"))))</f>
        <v/>
      </c>
    </row>
    <row r="21" ht="15" customHeight="1" s="27">
      <c r="A21" s="39">
        <f>IF(B21="","",ROW()-2)</f>
        <v/>
      </c>
      <c r="B21" s="50" t="n">
        <v>46241</v>
      </c>
      <c r="C21" s="40" t="inlineStr">
        <is>
          <t>SIM-10</t>
        </is>
      </c>
      <c r="D21" s="40" t="inlineStr">
        <is>
          <t>Otro</t>
        </is>
      </c>
      <c r="E21" s="40" t="inlineStr">
        <is>
          <t>Presencial</t>
        </is>
      </c>
      <c r="F21" s="40" t="inlineStr">
        <is>
          <t>No</t>
        </is>
      </c>
      <c r="G21" s="40" t="inlineStr">
        <is>
          <t>No</t>
        </is>
      </c>
      <c r="H21" s="54" t="n">
        <v>14.2</v>
      </c>
      <c r="I21" s="67">
        <f>IF(B21="","",IF(OR(D21="",F21="",G21=""),"Faltan datos",IF(AND(C21&lt;&gt;"",COUNTIF(Pacientes!$A$2:$A$46,C21)=0),"Código no registrado",IF(AND(F21="Sí",G21="Sí"),"Contradicción: resuelta y derivada","OK"))))</f>
        <v/>
      </c>
    </row>
    <row r="22" ht="15" customHeight="1" s="27">
      <c r="A22" s="39">
        <f>IF(B22="","",ROW()-2)</f>
        <v/>
      </c>
      <c r="B22" s="50" t="n">
        <v>46241</v>
      </c>
      <c r="C22" s="40" t="inlineStr">
        <is>
          <t>SIM-11</t>
        </is>
      </c>
      <c r="D22" s="40" t="inlineStr">
        <is>
          <t>Requisitos</t>
        </is>
      </c>
      <c r="E22" s="40" t="inlineStr">
        <is>
          <t>Telefónico</t>
        </is>
      </c>
      <c r="F22" s="40" t="inlineStr">
        <is>
          <t>No</t>
        </is>
      </c>
      <c r="G22" s="40" t="inlineStr">
        <is>
          <t>Sí</t>
        </is>
      </c>
      <c r="H22" s="54" t="n">
        <v>6.4</v>
      </c>
      <c r="I22" s="67">
        <f>IF(B22="","",IF(OR(D22="",F22="",G22=""),"Faltan datos",IF(AND(C22&lt;&gt;"",COUNTIF(Pacientes!$A$2:$A$46,C22)=0),"Código no registrado",IF(AND(F22="Sí",G22="Sí"),"Contradicción: resuelta y derivada","OK"))))</f>
        <v/>
      </c>
    </row>
    <row r="23" ht="15" customHeight="1" s="27">
      <c r="A23" s="39">
        <f>IF(B23="","",ROW()-2)</f>
        <v/>
      </c>
      <c r="B23" s="50" t="n">
        <v>46241</v>
      </c>
      <c r="C23" s="40" t="inlineStr">
        <is>
          <t>SIM-25</t>
        </is>
      </c>
      <c r="D23" s="40" t="inlineStr">
        <is>
          <t>Citas</t>
        </is>
      </c>
      <c r="E23" s="40" t="inlineStr">
        <is>
          <t>Presencial</t>
        </is>
      </c>
      <c r="F23" s="40" t="inlineStr">
        <is>
          <t>No</t>
        </is>
      </c>
      <c r="G23" s="40" t="inlineStr">
        <is>
          <t>Sí</t>
        </is>
      </c>
      <c r="H23" s="54" t="n">
        <v>19.5</v>
      </c>
      <c r="I23" s="67">
        <f>IF(B23="","",IF(OR(D23="",F23="",G23=""),"Faltan datos",IF(AND(C23&lt;&gt;"",COUNTIF(Pacientes!$A$2:$A$46,C23)=0),"Código no registrado",IF(AND(F23="Sí",G23="Sí"),"Contradicción: resuelta y derivada","OK"))))</f>
        <v/>
      </c>
    </row>
    <row r="24" ht="15" customHeight="1" s="27">
      <c r="A24" s="39">
        <f>IF(B24="","",ROW()-2)</f>
        <v/>
      </c>
      <c r="B24" s="50" t="n">
        <v>46241</v>
      </c>
      <c r="C24" s="40" t="n"/>
      <c r="D24" s="40" t="inlineStr">
        <is>
          <t>Requisitos</t>
        </is>
      </c>
      <c r="E24" s="40" t="inlineStr">
        <is>
          <t>Presencial</t>
        </is>
      </c>
      <c r="F24" s="40" t="inlineStr">
        <is>
          <t>Sí</t>
        </is>
      </c>
      <c r="G24" s="40" t="inlineStr">
        <is>
          <t>No</t>
        </is>
      </c>
      <c r="H24" s="54" t="n">
        <v>15.8</v>
      </c>
      <c r="I24" s="67">
        <f>IF(B24="","",IF(OR(D24="",F24="",G24=""),"Faltan datos",IF(AND(C24&lt;&gt;"",COUNTIF(Pacientes!$A$2:$A$46,C24)=0),"Código no registrado",IF(AND(F24="Sí",G24="Sí"),"Contradicción: resuelta y derivada","OK"))))</f>
        <v/>
      </c>
    </row>
    <row r="25" ht="15" customHeight="1" s="27">
      <c r="A25" s="39">
        <f>IF(B25="","",ROW()-2)</f>
        <v/>
      </c>
      <c r="B25" s="50" t="n">
        <v>46241</v>
      </c>
      <c r="C25" s="40" t="inlineStr">
        <is>
          <t>SIM-24</t>
        </is>
      </c>
      <c r="D25" s="40" t="inlineStr">
        <is>
          <t>Otro</t>
        </is>
      </c>
      <c r="E25" s="40" t="inlineStr">
        <is>
          <t>Presencial</t>
        </is>
      </c>
      <c r="F25" s="40" t="inlineStr">
        <is>
          <t>Sí</t>
        </is>
      </c>
      <c r="G25" s="40" t="inlineStr">
        <is>
          <t>No</t>
        </is>
      </c>
      <c r="H25" s="54" t="n">
        <v>13</v>
      </c>
      <c r="I25" s="67">
        <f>IF(B25="","",IF(OR(D25="",F25="",G25=""),"Faltan datos",IF(AND(C25&lt;&gt;"",COUNTIF(Pacientes!$A$2:$A$46,C25)=0),"Código no registrado",IF(AND(F25="Sí",G25="Sí"),"Contradicción: resuelta y derivada","OK"))))</f>
        <v/>
      </c>
    </row>
    <row r="26" ht="15" customHeight="1" s="27">
      <c r="A26" s="39">
        <f>IF(B26="","",ROW()-2)</f>
        <v/>
      </c>
      <c r="B26" s="50" t="n">
        <v>46241</v>
      </c>
      <c r="C26" s="40" t="inlineStr">
        <is>
          <t>SIM-12</t>
        </is>
      </c>
      <c r="D26" s="40" t="inlineStr">
        <is>
          <t>Citas</t>
        </is>
      </c>
      <c r="E26" s="40" t="inlineStr">
        <is>
          <t>WhatsApp institucional</t>
        </is>
      </c>
      <c r="F26" s="40" t="inlineStr">
        <is>
          <t>Sí</t>
        </is>
      </c>
      <c r="G26" s="40" t="inlineStr">
        <is>
          <t>No</t>
        </is>
      </c>
      <c r="H26" s="54" t="n">
        <v>19.2</v>
      </c>
      <c r="I26" s="67">
        <f>IF(B26="","",IF(OR(D26="",F26="",G26=""),"Faltan datos",IF(AND(C26&lt;&gt;"",COUNTIF(Pacientes!$A$2:$A$46,C26)=0),"Código no registrado",IF(AND(F26="Sí",G26="Sí"),"Contradicción: resuelta y derivada","OK"))))</f>
        <v/>
      </c>
    </row>
    <row r="27" ht="15" customHeight="1" s="27">
      <c r="A27" s="39">
        <f>IF(B27="","",ROW()-2)</f>
        <v/>
      </c>
      <c r="B27" s="50" t="n">
        <v>46241</v>
      </c>
      <c r="C27" s="40" t="n"/>
      <c r="D27" s="40" t="inlineStr">
        <is>
          <t>Citas</t>
        </is>
      </c>
      <c r="E27" s="40" t="inlineStr">
        <is>
          <t>Presencial</t>
        </is>
      </c>
      <c r="F27" s="40" t="inlineStr">
        <is>
          <t>Sí</t>
        </is>
      </c>
      <c r="G27" s="40" t="inlineStr">
        <is>
          <t>No</t>
        </is>
      </c>
      <c r="H27" s="54" t="n">
        <v>13.2</v>
      </c>
      <c r="I27" s="67">
        <f>IF(B27="","",IF(OR(D27="",F27="",G27=""),"Faltan datos",IF(AND(C27&lt;&gt;"",COUNTIF(Pacientes!$A$2:$A$46,C27)=0),"Código no registrado",IF(AND(F27="Sí",G27="Sí"),"Contradicción: resuelta y derivada","OK"))))</f>
        <v/>
      </c>
    </row>
    <row r="28" ht="15" customHeight="1" s="27">
      <c r="A28" s="39">
        <f>IF(B28="","",ROW()-2)</f>
        <v/>
      </c>
      <c r="B28" s="50" t="n">
        <v>46241</v>
      </c>
      <c r="C28" s="40" t="inlineStr">
        <is>
          <t>SIM-10</t>
        </is>
      </c>
      <c r="D28" s="40" t="inlineStr">
        <is>
          <t>Ubicación</t>
        </is>
      </c>
      <c r="E28" s="40" t="inlineStr">
        <is>
          <t>Presencial</t>
        </is>
      </c>
      <c r="F28" s="40" t="inlineStr">
        <is>
          <t>Sí</t>
        </is>
      </c>
      <c r="G28" s="40" t="inlineStr">
        <is>
          <t>No</t>
        </is>
      </c>
      <c r="H28" s="54" t="n">
        <v>19.8</v>
      </c>
      <c r="I28" s="67">
        <f>IF(B28="","",IF(OR(D28="",F28="",G28=""),"Faltan datos",IF(AND(C28&lt;&gt;"",COUNTIF(Pacientes!$A$2:$A$46,C28)=0),"Código no registrado",IF(AND(F28="Sí",G28="Sí"),"Contradicción: resuelta y derivada","OK"))))</f>
        <v/>
      </c>
    </row>
    <row r="29" ht="15" customHeight="1" s="27">
      <c r="A29" s="39">
        <f>IF(B29="","",ROW()-2)</f>
        <v/>
      </c>
      <c r="B29" s="50" t="n">
        <v>46244</v>
      </c>
      <c r="C29" s="40" t="inlineStr">
        <is>
          <t>SIM-23</t>
        </is>
      </c>
      <c r="D29" s="40" t="inlineStr">
        <is>
          <t>Citas</t>
        </is>
      </c>
      <c r="E29" s="40" t="inlineStr">
        <is>
          <t>Presencial</t>
        </is>
      </c>
      <c r="F29" s="40" t="inlineStr">
        <is>
          <t>No</t>
        </is>
      </c>
      <c r="G29" s="40" t="inlineStr">
        <is>
          <t>Sí</t>
        </is>
      </c>
      <c r="H29" s="54" t="n">
        <v>17.7</v>
      </c>
      <c r="I29" s="67">
        <f>IF(B29="","",IF(OR(D29="",F29="",G29=""),"Faltan datos",IF(AND(C29&lt;&gt;"",COUNTIF(Pacientes!$A$2:$A$46,C29)=0),"Código no registrado",IF(AND(F29="Sí",G29="Sí"),"Contradicción: resuelta y derivada","OK"))))</f>
        <v/>
      </c>
    </row>
    <row r="30" ht="15" customHeight="1" s="27">
      <c r="A30" s="39">
        <f>IF(B30="","",ROW()-2)</f>
        <v/>
      </c>
      <c r="B30" s="50" t="n">
        <v>46244</v>
      </c>
      <c r="C30" s="40" t="inlineStr">
        <is>
          <t>SIM-20</t>
        </is>
      </c>
      <c r="D30" s="40" t="inlineStr">
        <is>
          <t>Requisitos</t>
        </is>
      </c>
      <c r="E30" s="40" t="inlineStr">
        <is>
          <t>Telefónico</t>
        </is>
      </c>
      <c r="F30" s="40" t="inlineStr">
        <is>
          <t>No</t>
        </is>
      </c>
      <c r="G30" s="40" t="inlineStr">
        <is>
          <t>Sí</t>
        </is>
      </c>
      <c r="H30" s="54" t="n">
        <v>9.300000000000001</v>
      </c>
      <c r="I30" s="67">
        <f>IF(B30="","",IF(OR(D30="",F30="",G30=""),"Faltan datos",IF(AND(C30&lt;&gt;"",COUNTIF(Pacientes!$A$2:$A$46,C30)=0),"Código no registrado",IF(AND(F30="Sí",G30="Sí"),"Contradicción: resuelta y derivada","OK"))))</f>
        <v/>
      </c>
    </row>
    <row r="31" ht="15" customHeight="1" s="27">
      <c r="A31" s="39">
        <f>IF(B31="","",ROW()-2)</f>
        <v/>
      </c>
      <c r="B31" s="50" t="n">
        <v>46244</v>
      </c>
      <c r="C31" s="40" t="inlineStr">
        <is>
          <t>SIM-23</t>
        </is>
      </c>
      <c r="D31" s="40" t="inlineStr">
        <is>
          <t>Seguimiento administrativo</t>
        </is>
      </c>
      <c r="E31" s="40" t="inlineStr">
        <is>
          <t>Presencial</t>
        </is>
      </c>
      <c r="F31" s="40" t="inlineStr">
        <is>
          <t>No</t>
        </is>
      </c>
      <c r="G31" s="40" t="inlineStr">
        <is>
          <t>Sí</t>
        </is>
      </c>
      <c r="H31" s="54" t="n">
        <v>11.9</v>
      </c>
      <c r="I31" s="67">
        <f>IF(B31="","",IF(OR(D31="",F31="",G31=""),"Faltan datos",IF(AND(C31&lt;&gt;"",COUNTIF(Pacientes!$A$2:$A$46,C31)=0),"Código no registrado",IF(AND(F31="Sí",G31="Sí"),"Contradicción: resuelta y derivada","OK"))))</f>
        <v/>
      </c>
    </row>
    <row r="32" ht="15" customHeight="1" s="27">
      <c r="A32" s="39">
        <f>IF(B32="","",ROW()-2)</f>
        <v/>
      </c>
      <c r="B32" s="50" t="n">
        <v>46244</v>
      </c>
      <c r="C32" s="40" t="inlineStr">
        <is>
          <t>SIM-27</t>
        </is>
      </c>
      <c r="D32" s="40" t="inlineStr">
        <is>
          <t>Seguimiento administrativo</t>
        </is>
      </c>
      <c r="E32" s="40" t="inlineStr">
        <is>
          <t>WhatsApp institucional</t>
        </is>
      </c>
      <c r="F32" s="40" t="inlineStr">
        <is>
          <t>Sí</t>
        </is>
      </c>
      <c r="G32" s="40" t="inlineStr">
        <is>
          <t>No</t>
        </is>
      </c>
      <c r="H32" s="54" t="n">
        <v>18.4</v>
      </c>
      <c r="I32" s="67">
        <f>IF(B32="","",IF(OR(D32="",F32="",G32=""),"Faltan datos",IF(AND(C32&lt;&gt;"",COUNTIF(Pacientes!$A$2:$A$46,C32)=0),"Código no registrado",IF(AND(F32="Sí",G32="Sí"),"Contradicción: resuelta y derivada","OK"))))</f>
        <v/>
      </c>
    </row>
    <row r="33" ht="15" customHeight="1" s="27">
      <c r="A33" s="39">
        <f>IF(B33="","",ROW()-2)</f>
        <v/>
      </c>
      <c r="B33" s="50" t="n">
        <v>46244</v>
      </c>
      <c r="C33" s="40" t="inlineStr">
        <is>
          <t>SIM-08</t>
        </is>
      </c>
      <c r="D33" s="40" t="inlineStr">
        <is>
          <t>Otro</t>
        </is>
      </c>
      <c r="E33" s="40" t="inlineStr">
        <is>
          <t>Presencial</t>
        </is>
      </c>
      <c r="F33" s="40" t="inlineStr">
        <is>
          <t>Sí</t>
        </is>
      </c>
      <c r="G33" s="40" t="inlineStr">
        <is>
          <t>No</t>
        </is>
      </c>
      <c r="H33" s="54" t="n">
        <v>9.800000000000001</v>
      </c>
      <c r="I33" s="67">
        <f>IF(B33="","",IF(OR(D33="",F33="",G33=""),"Faltan datos",IF(AND(C33&lt;&gt;"",COUNTIF(Pacientes!$A$2:$A$46,C33)=0),"Código no registrado",IF(AND(F33="Sí",G33="Sí"),"Contradicción: resuelta y derivada","OK"))))</f>
        <v/>
      </c>
    </row>
    <row r="34" ht="15" customHeight="1" s="27">
      <c r="A34" s="39">
        <f>IF(B34="","",ROW()-2)</f>
        <v/>
      </c>
      <c r="B34" s="50" t="n">
        <v>46244</v>
      </c>
      <c r="C34" s="40" t="inlineStr">
        <is>
          <t>SIM-18</t>
        </is>
      </c>
      <c r="D34" s="40" t="inlineStr">
        <is>
          <t>Requisitos</t>
        </is>
      </c>
      <c r="E34" s="40" t="inlineStr">
        <is>
          <t>WhatsApp institucional</t>
        </is>
      </c>
      <c r="F34" s="40" t="inlineStr">
        <is>
          <t>Sí</t>
        </is>
      </c>
      <c r="G34" s="40" t="inlineStr">
        <is>
          <t>No</t>
        </is>
      </c>
      <c r="H34" s="54" t="n">
        <v>7.2</v>
      </c>
      <c r="I34" s="67">
        <f>IF(B34="","",IF(OR(D34="",F34="",G34=""),"Faltan datos",IF(AND(C34&lt;&gt;"",COUNTIF(Pacientes!$A$2:$A$46,C34)=0),"Código no registrado",IF(AND(F34="Sí",G34="Sí"),"Contradicción: resuelta y derivada","OK"))))</f>
        <v/>
      </c>
    </row>
    <row r="35" ht="15" customHeight="1" s="27">
      <c r="A35" s="39">
        <f>IF(B35="","",ROW()-2)</f>
        <v/>
      </c>
      <c r="B35" s="50" t="n">
        <v>46246</v>
      </c>
      <c r="C35" s="40" t="inlineStr">
        <is>
          <t>SIM-14</t>
        </is>
      </c>
      <c r="D35" s="40" t="inlineStr">
        <is>
          <t>Ubicación</t>
        </is>
      </c>
      <c r="E35" s="40" t="inlineStr">
        <is>
          <t>WhatsApp institucional</t>
        </is>
      </c>
      <c r="F35" s="40" t="inlineStr">
        <is>
          <t>No</t>
        </is>
      </c>
      <c r="G35" s="40" t="inlineStr">
        <is>
          <t>No</t>
        </is>
      </c>
      <c r="H35" s="54" t="n">
        <v>15.3</v>
      </c>
      <c r="I35" s="67">
        <f>IF(B35="","",IF(OR(D35="",F35="",G35=""),"Faltan datos",IF(AND(C35&lt;&gt;"",COUNTIF(Pacientes!$A$2:$A$46,C35)=0),"Código no registrado",IF(AND(F35="Sí",G35="Sí"),"Contradicción: resuelta y derivada","OK"))))</f>
        <v/>
      </c>
    </row>
    <row r="36" ht="15" customHeight="1" s="27">
      <c r="A36" s="39">
        <f>IF(B36="","",ROW()-2)</f>
        <v/>
      </c>
      <c r="B36" s="50" t="n">
        <v>46246</v>
      </c>
      <c r="C36" s="40" t="inlineStr">
        <is>
          <t>SIM-04</t>
        </is>
      </c>
      <c r="D36" s="40" t="inlineStr">
        <is>
          <t>Citas</t>
        </is>
      </c>
      <c r="E36" s="40" t="inlineStr">
        <is>
          <t>Telefónico</t>
        </is>
      </c>
      <c r="F36" s="40" t="inlineStr">
        <is>
          <t>No</t>
        </is>
      </c>
      <c r="G36" s="40" t="inlineStr">
        <is>
          <t>Sí</t>
        </is>
      </c>
      <c r="H36" s="54" t="n">
        <v>5.2</v>
      </c>
      <c r="I36" s="67">
        <f>IF(B36="","",IF(OR(D36="",F36="",G36=""),"Faltan datos",IF(AND(C36&lt;&gt;"",COUNTIF(Pacientes!$A$2:$A$46,C36)=0),"Código no registrado",IF(AND(F36="Sí",G36="Sí"),"Contradicción: resuelta y derivada","OK"))))</f>
        <v/>
      </c>
    </row>
    <row r="37" ht="15" customHeight="1" s="27">
      <c r="A37" s="39">
        <f>IF(B37="","",ROW()-2)</f>
        <v/>
      </c>
      <c r="B37" s="50" t="n">
        <v>46246</v>
      </c>
      <c r="C37" s="40" t="n"/>
      <c r="D37" s="40" t="inlineStr">
        <is>
          <t>Ubicación</t>
        </is>
      </c>
      <c r="E37" s="40" t="inlineStr">
        <is>
          <t>WhatsApp institucional</t>
        </is>
      </c>
      <c r="F37" s="40" t="inlineStr">
        <is>
          <t>No</t>
        </is>
      </c>
      <c r="G37" s="40" t="inlineStr">
        <is>
          <t>Sí</t>
        </is>
      </c>
      <c r="H37" s="54" t="n">
        <v>6.6</v>
      </c>
      <c r="I37" s="67">
        <f>IF(B37="","",IF(OR(D37="",F37="",G37=""),"Faltan datos",IF(AND(C37&lt;&gt;"",COUNTIF(Pacientes!$A$2:$A$46,C37)=0),"Código no registrado",IF(AND(F37="Sí",G37="Sí"),"Contradicción: resuelta y derivada","OK"))))</f>
        <v/>
      </c>
    </row>
    <row r="38" ht="15" customHeight="1" s="27">
      <c r="A38" s="39">
        <f>IF(B38="","",ROW()-2)</f>
        <v/>
      </c>
      <c r="B38" s="50" t="n">
        <v>46246</v>
      </c>
      <c r="C38" s="40" t="inlineStr">
        <is>
          <t>SIM-11</t>
        </is>
      </c>
      <c r="D38" s="40" t="inlineStr">
        <is>
          <t>Seguimiento administrativo</t>
        </is>
      </c>
      <c r="E38" s="40" t="inlineStr">
        <is>
          <t>Presencial</t>
        </is>
      </c>
      <c r="F38" s="40" t="inlineStr">
        <is>
          <t>Sí</t>
        </is>
      </c>
      <c r="G38" s="40" t="inlineStr">
        <is>
          <t>No</t>
        </is>
      </c>
      <c r="H38" s="54" t="n">
        <v>7.2</v>
      </c>
      <c r="I38" s="67">
        <f>IF(B38="","",IF(OR(D38="",F38="",G38=""),"Faltan datos",IF(AND(C38&lt;&gt;"",COUNTIF(Pacientes!$A$2:$A$46,C38)=0),"Código no registrado",IF(AND(F38="Sí",G38="Sí"),"Contradicción: resuelta y derivada","OK"))))</f>
        <v/>
      </c>
    </row>
    <row r="39" ht="15" customHeight="1" s="27">
      <c r="A39" s="39">
        <f>IF(B39="","",ROW()-2)</f>
        <v/>
      </c>
      <c r="B39" s="50" t="n">
        <v>46246</v>
      </c>
      <c r="C39" s="40" t="inlineStr">
        <is>
          <t>SIM-05</t>
        </is>
      </c>
      <c r="D39" s="40" t="inlineStr">
        <is>
          <t>Citas</t>
        </is>
      </c>
      <c r="E39" s="40" t="inlineStr">
        <is>
          <t>Presencial</t>
        </is>
      </c>
      <c r="F39" s="40" t="inlineStr">
        <is>
          <t>No</t>
        </is>
      </c>
      <c r="G39" s="40" t="inlineStr">
        <is>
          <t>Sí</t>
        </is>
      </c>
      <c r="H39" s="54" t="n">
        <v>14</v>
      </c>
      <c r="I39" s="67">
        <f>IF(B39="","",IF(OR(D39="",F39="",G39=""),"Faltan datos",IF(AND(C39&lt;&gt;"",COUNTIF(Pacientes!$A$2:$A$46,C39)=0),"Código no registrado",IF(AND(F39="Sí",G39="Sí"),"Contradicción: resuelta y derivada","OK"))))</f>
        <v/>
      </c>
    </row>
    <row r="40" ht="15" customHeight="1" s="27">
      <c r="A40" s="39">
        <f>IF(B40="","",ROW()-2)</f>
        <v/>
      </c>
      <c r="B40" s="50" t="n">
        <v>46246</v>
      </c>
      <c r="C40" s="40" t="inlineStr">
        <is>
          <t>SIM-02</t>
        </is>
      </c>
      <c r="D40" s="40" t="inlineStr">
        <is>
          <t>Ubicación</t>
        </is>
      </c>
      <c r="E40" s="40" t="inlineStr">
        <is>
          <t>Presencial</t>
        </is>
      </c>
      <c r="F40" s="40" t="inlineStr">
        <is>
          <t>Sí</t>
        </is>
      </c>
      <c r="G40" s="40" t="inlineStr">
        <is>
          <t>No</t>
        </is>
      </c>
      <c r="H40" s="54" t="n">
        <v>16.4</v>
      </c>
      <c r="I40" s="67">
        <f>IF(B40="","",IF(OR(D40="",F40="",G40=""),"Faltan datos",IF(AND(C40&lt;&gt;"",COUNTIF(Pacientes!$A$2:$A$46,C40)=0),"Código no registrado",IF(AND(F40="Sí",G40="Sí"),"Contradicción: resuelta y derivada","OK"))))</f>
        <v/>
      </c>
    </row>
    <row r="41" ht="15" customHeight="1" s="27">
      <c r="A41" s="39">
        <f>IF(B41="","",ROW()-2)</f>
        <v/>
      </c>
      <c r="B41" s="50" t="n">
        <v>46248</v>
      </c>
      <c r="C41" s="40" t="inlineStr">
        <is>
          <t>SIM-29</t>
        </is>
      </c>
      <c r="D41" s="40" t="inlineStr">
        <is>
          <t>Horarios</t>
        </is>
      </c>
      <c r="E41" s="40" t="inlineStr">
        <is>
          <t>Presencial</t>
        </is>
      </c>
      <c r="F41" s="40" t="inlineStr">
        <is>
          <t>Sí</t>
        </is>
      </c>
      <c r="G41" s="40" t="inlineStr">
        <is>
          <t>No</t>
        </is>
      </c>
      <c r="H41" s="54" t="n">
        <v>7.6</v>
      </c>
      <c r="I41" s="67">
        <f>IF(B41="","",IF(OR(D41="",F41="",G41=""),"Faltan datos",IF(AND(C41&lt;&gt;"",COUNTIF(Pacientes!$A$2:$A$46,C41)=0),"Código no registrado",IF(AND(F41="Sí",G41="Sí"),"Contradicción: resuelta y derivada","OK"))))</f>
        <v/>
      </c>
    </row>
    <row r="42" ht="15" customHeight="1" s="27">
      <c r="A42" s="39">
        <f>IF(B42="","",ROW()-2)</f>
        <v/>
      </c>
      <c r="B42" s="50" t="n">
        <v>46248</v>
      </c>
      <c r="C42" s="40" t="n"/>
      <c r="D42" s="40" t="inlineStr">
        <is>
          <t>Ubicación</t>
        </is>
      </c>
      <c r="E42" s="40" t="inlineStr">
        <is>
          <t>Presencial</t>
        </is>
      </c>
      <c r="F42" s="40" t="inlineStr">
        <is>
          <t>Sí</t>
        </is>
      </c>
      <c r="G42" s="40" t="inlineStr">
        <is>
          <t>No</t>
        </is>
      </c>
      <c r="H42" s="54" t="n">
        <v>17.3</v>
      </c>
      <c r="I42" s="67">
        <f>IF(B42="","",IF(OR(D42="",F42="",G42=""),"Faltan datos",IF(AND(C42&lt;&gt;"",COUNTIF(Pacientes!$A$2:$A$46,C42)=0),"Código no registrado",IF(AND(F42="Sí",G42="Sí"),"Contradicción: resuelta y derivada","OK"))))</f>
        <v/>
      </c>
    </row>
    <row r="43" ht="15" customHeight="1" s="27">
      <c r="A43" s="39">
        <f>IF(B43="","",ROW()-2)</f>
        <v/>
      </c>
      <c r="B43" s="50" t="n">
        <v>46248</v>
      </c>
      <c r="C43" s="40" t="inlineStr">
        <is>
          <t>SIM-01</t>
        </is>
      </c>
      <c r="D43" s="40" t="inlineStr">
        <is>
          <t>Seguimiento administrativo</t>
        </is>
      </c>
      <c r="E43" s="40" t="inlineStr">
        <is>
          <t>Presencial</t>
        </is>
      </c>
      <c r="F43" s="40" t="inlineStr">
        <is>
          <t>Sí</t>
        </is>
      </c>
      <c r="G43" s="40" t="inlineStr">
        <is>
          <t>No</t>
        </is>
      </c>
      <c r="H43" s="54" t="n">
        <v>18.1</v>
      </c>
      <c r="I43" s="67">
        <f>IF(B43="","",IF(OR(D43="",F43="",G43=""),"Faltan datos",IF(AND(C43&lt;&gt;"",COUNTIF(Pacientes!$A$2:$A$46,C43)=0),"Código no registrado",IF(AND(F43="Sí",G43="Sí"),"Contradicción: resuelta y derivada","OK"))))</f>
        <v/>
      </c>
    </row>
    <row r="44" ht="15" customHeight="1" s="27">
      <c r="A44" s="39">
        <f>IF(B44="","",ROW()-2)</f>
        <v/>
      </c>
      <c r="B44" s="50" t="n">
        <v>46248</v>
      </c>
      <c r="C44" s="40" t="inlineStr">
        <is>
          <t>SIM-11</t>
        </is>
      </c>
      <c r="D44" s="40" t="inlineStr">
        <is>
          <t>Horarios</t>
        </is>
      </c>
      <c r="E44" s="40" t="inlineStr">
        <is>
          <t>Presencial</t>
        </is>
      </c>
      <c r="F44" s="40" t="inlineStr">
        <is>
          <t>No</t>
        </is>
      </c>
      <c r="G44" s="40" t="inlineStr">
        <is>
          <t>Sí</t>
        </is>
      </c>
      <c r="H44" s="54" t="n">
        <v>13.9</v>
      </c>
      <c r="I44" s="67">
        <f>IF(B44="","",IF(OR(D44="",F44="",G44=""),"Faltan datos",IF(AND(C44&lt;&gt;"",COUNTIF(Pacientes!$A$2:$A$46,C44)=0),"Código no registrado",IF(AND(F44="Sí",G44="Sí"),"Contradicción: resuelta y derivada","OK"))))</f>
        <v/>
      </c>
    </row>
    <row r="45" ht="15" customHeight="1" s="27">
      <c r="A45" s="39">
        <f>IF(B45="","",ROW()-2)</f>
        <v/>
      </c>
      <c r="B45" s="50" t="n">
        <v>46248</v>
      </c>
      <c r="C45" s="40" t="n"/>
      <c r="D45" s="40" t="inlineStr">
        <is>
          <t>Seguimiento administrativo</t>
        </is>
      </c>
      <c r="E45" s="40" t="inlineStr">
        <is>
          <t>WhatsApp institucional</t>
        </is>
      </c>
      <c r="F45" s="40" t="inlineStr">
        <is>
          <t>Sí</t>
        </is>
      </c>
      <c r="G45" s="40" t="inlineStr">
        <is>
          <t>No</t>
        </is>
      </c>
      <c r="H45" s="54" t="n">
        <v>12.4</v>
      </c>
      <c r="I45" s="67">
        <f>IF(B45="","",IF(OR(D45="",F45="",G45=""),"Faltan datos",IF(AND(C45&lt;&gt;"",COUNTIF(Pacientes!$A$2:$A$46,C45)=0),"Código no registrado",IF(AND(F45="Sí",G45="Sí"),"Contradicción: resuelta y derivada","OK"))))</f>
        <v/>
      </c>
    </row>
    <row r="46" ht="15" customHeight="1" s="27">
      <c r="A46" s="39">
        <f>IF(B46="","",ROW()-2)</f>
        <v/>
      </c>
      <c r="B46" s="50" t="n">
        <v>46248</v>
      </c>
      <c r="C46" s="40" t="inlineStr">
        <is>
          <t>SIM-01</t>
        </is>
      </c>
      <c r="D46" s="40" t="inlineStr">
        <is>
          <t>Horarios</t>
        </is>
      </c>
      <c r="E46" s="40" t="inlineStr">
        <is>
          <t>WhatsApp institucional</t>
        </is>
      </c>
      <c r="F46" s="40" t="inlineStr">
        <is>
          <t>No</t>
        </is>
      </c>
      <c r="G46" s="40" t="inlineStr">
        <is>
          <t>No</t>
        </is>
      </c>
      <c r="H46" s="54" t="n">
        <v>12.6</v>
      </c>
      <c r="I46" s="67">
        <f>IF(B46="","",IF(OR(D46="",F46="",G46=""),"Faltan datos",IF(AND(C46&lt;&gt;"",COUNTIF(Pacientes!$A$2:$A$46,C46)=0),"Código no registrado",IF(AND(F46="Sí",G46="Sí"),"Contradicción: resuelta y derivada","OK"))))</f>
        <v/>
      </c>
    </row>
    <row r="47" ht="15" customHeight="1" s="27">
      <c r="A47" s="39">
        <f>IF(B47="","",ROW()-2)</f>
        <v/>
      </c>
      <c r="B47" s="50" t="n">
        <v>46248</v>
      </c>
      <c r="C47" s="40" t="inlineStr">
        <is>
          <t>SIM-13</t>
        </is>
      </c>
      <c r="D47" s="40" t="inlineStr">
        <is>
          <t>Seguimiento administrativo</t>
        </is>
      </c>
      <c r="E47" s="40" t="inlineStr">
        <is>
          <t>WhatsApp institucional</t>
        </is>
      </c>
      <c r="F47" s="40" t="inlineStr">
        <is>
          <t>No</t>
        </is>
      </c>
      <c r="G47" s="40" t="inlineStr">
        <is>
          <t>Sí</t>
        </is>
      </c>
      <c r="H47" s="54" t="n">
        <v>8.1</v>
      </c>
      <c r="I47" s="67">
        <f>IF(B47="","",IF(OR(D47="",F47="",G47=""),"Faltan datos",IF(AND(C47&lt;&gt;"",COUNTIF(Pacientes!$A$2:$A$46,C47)=0),"Código no registrado",IF(AND(F47="Sí",G47="Sí"),"Contradicción: resuelta y derivada","OK"))))</f>
        <v/>
      </c>
    </row>
    <row r="48" ht="15" customHeight="1" s="27">
      <c r="A48" s="39">
        <f>IF(B48="","",ROW()-2)</f>
        <v/>
      </c>
      <c r="B48" s="50" t="n">
        <v>46251</v>
      </c>
      <c r="C48" s="40" t="inlineStr">
        <is>
          <t>SIM-08</t>
        </is>
      </c>
      <c r="D48" s="40" t="inlineStr">
        <is>
          <t>Requisitos</t>
        </is>
      </c>
      <c r="E48" s="40" t="inlineStr">
        <is>
          <t>WhatsApp institucional</t>
        </is>
      </c>
      <c r="F48" s="40" t="inlineStr">
        <is>
          <t>Sí</t>
        </is>
      </c>
      <c r="G48" s="40" t="inlineStr">
        <is>
          <t>No</t>
        </is>
      </c>
      <c r="H48" s="54" t="n">
        <v>14.9</v>
      </c>
      <c r="I48" s="67">
        <f>IF(B48="","",IF(OR(D48="",F48="",G48=""),"Faltan datos",IF(AND(C48&lt;&gt;"",COUNTIF(Pacientes!$A$2:$A$46,C48)=0),"Código no registrado",IF(AND(F48="Sí",G48="Sí"),"Contradicción: resuelta y derivada","OK"))))</f>
        <v/>
      </c>
    </row>
    <row r="49" ht="15" customHeight="1" s="27">
      <c r="A49" s="39">
        <f>IF(B49="","",ROW()-2)</f>
        <v/>
      </c>
      <c r="B49" s="50" t="n">
        <v>46251</v>
      </c>
      <c r="C49" s="40" t="n"/>
      <c r="D49" s="40" t="inlineStr">
        <is>
          <t>Citas</t>
        </is>
      </c>
      <c r="E49" s="40" t="inlineStr">
        <is>
          <t>WhatsApp institucional</t>
        </is>
      </c>
      <c r="F49" s="40" t="inlineStr">
        <is>
          <t>Sí</t>
        </is>
      </c>
      <c r="G49" s="40" t="inlineStr">
        <is>
          <t>No</t>
        </is>
      </c>
      <c r="H49" s="54" t="n">
        <v>13.4</v>
      </c>
      <c r="I49" s="67">
        <f>IF(B49="","",IF(OR(D49="",F49="",G49=""),"Faltan datos",IF(AND(C49&lt;&gt;"",COUNTIF(Pacientes!$A$2:$A$46,C49)=0),"Código no registrado",IF(AND(F49="Sí",G49="Sí"),"Contradicción: resuelta y derivada","OK"))))</f>
        <v/>
      </c>
    </row>
    <row r="50" ht="15" customHeight="1" s="27">
      <c r="A50" s="39">
        <f>IF(B50="","",ROW()-2)</f>
        <v/>
      </c>
      <c r="B50" s="50" t="n">
        <v>46251</v>
      </c>
      <c r="C50" s="40" t="inlineStr">
        <is>
          <t>SIM-09</t>
        </is>
      </c>
      <c r="D50" s="40" t="inlineStr">
        <is>
          <t>Ubicación</t>
        </is>
      </c>
      <c r="E50" s="40" t="inlineStr">
        <is>
          <t>Telefónico</t>
        </is>
      </c>
      <c r="F50" s="40" t="inlineStr">
        <is>
          <t>No</t>
        </is>
      </c>
      <c r="G50" s="40" t="inlineStr">
        <is>
          <t>No</t>
        </is>
      </c>
      <c r="H50" s="54" t="n">
        <v>13.2</v>
      </c>
      <c r="I50" s="67">
        <f>IF(B50="","",IF(OR(D50="",F50="",G50=""),"Faltan datos",IF(AND(C50&lt;&gt;"",COUNTIF(Pacientes!$A$2:$A$46,C50)=0),"Código no registrado",IF(AND(F50="Sí",G50="Sí"),"Contradicción: resuelta y derivada","OK"))))</f>
        <v/>
      </c>
    </row>
    <row r="51" ht="15" customHeight="1" s="27">
      <c r="A51" s="39">
        <f>IF(B51="","",ROW()-2)</f>
        <v/>
      </c>
      <c r="B51" s="50" t="n">
        <v>46251</v>
      </c>
      <c r="C51" s="40" t="inlineStr">
        <is>
          <t>SIM-21</t>
        </is>
      </c>
      <c r="D51" s="40" t="inlineStr">
        <is>
          <t>Requisitos</t>
        </is>
      </c>
      <c r="E51" s="40" t="inlineStr">
        <is>
          <t>WhatsApp institucional</t>
        </is>
      </c>
      <c r="F51" s="40" t="inlineStr">
        <is>
          <t>Sí</t>
        </is>
      </c>
      <c r="G51" s="40" t="inlineStr">
        <is>
          <t>No</t>
        </is>
      </c>
      <c r="H51" s="54" t="n">
        <v>18.2</v>
      </c>
      <c r="I51" s="67">
        <f>IF(B51="","",IF(OR(D51="",F51="",G51=""),"Faltan datos",IF(AND(C51&lt;&gt;"",COUNTIF(Pacientes!$A$2:$A$46,C51)=0),"Código no registrado",IF(AND(F51="Sí",G51="Sí"),"Contradicción: resuelta y derivada","OK"))))</f>
        <v/>
      </c>
    </row>
    <row r="52" ht="15" customHeight="1" s="27">
      <c r="A52" s="39">
        <f>IF(B52="","",ROW()-2)</f>
        <v/>
      </c>
      <c r="B52" s="50" t="n">
        <v>46251</v>
      </c>
      <c r="C52" s="40" t="inlineStr">
        <is>
          <t>SIM-12</t>
        </is>
      </c>
      <c r="D52" s="40" t="inlineStr">
        <is>
          <t>Ubicación</t>
        </is>
      </c>
      <c r="E52" s="40" t="inlineStr">
        <is>
          <t>Presencial</t>
        </is>
      </c>
      <c r="F52" s="40" t="inlineStr">
        <is>
          <t>Sí</t>
        </is>
      </c>
      <c r="G52" s="40" t="inlineStr">
        <is>
          <t>No</t>
        </is>
      </c>
      <c r="H52" s="54" t="n">
        <v>11</v>
      </c>
      <c r="I52" s="67">
        <f>IF(B52="","",IF(OR(D52="",F52="",G52=""),"Faltan datos",IF(AND(C52&lt;&gt;"",COUNTIF(Pacientes!$A$2:$A$46,C52)=0),"Código no registrado",IF(AND(F52="Sí",G52="Sí"),"Contradicción: resuelta y derivada","OK"))))</f>
        <v/>
      </c>
    </row>
    <row r="53" ht="15" customHeight="1" s="27">
      <c r="A53" s="39">
        <f>IF(B53="","",ROW()-2)</f>
        <v/>
      </c>
      <c r="B53" s="50" t="n">
        <v>46251</v>
      </c>
      <c r="C53" s="40" t="inlineStr">
        <is>
          <t>SIM-14</t>
        </is>
      </c>
      <c r="D53" s="40" t="inlineStr">
        <is>
          <t>Seguimiento administrativo</t>
        </is>
      </c>
      <c r="E53" s="40" t="inlineStr">
        <is>
          <t>Telefónico</t>
        </is>
      </c>
      <c r="F53" s="40" t="inlineStr">
        <is>
          <t>Sí</t>
        </is>
      </c>
      <c r="G53" s="40" t="inlineStr">
        <is>
          <t>No</t>
        </is>
      </c>
      <c r="H53" s="54" t="n">
        <v>15.2</v>
      </c>
      <c r="I53" s="67">
        <f>IF(B53="","",IF(OR(D53="",F53="",G53=""),"Faltan datos",IF(AND(C53&lt;&gt;"",COUNTIF(Pacientes!$A$2:$A$46,C53)=0),"Código no registrado",IF(AND(F53="Sí",G53="Sí"),"Contradicción: resuelta y derivada","OK"))))</f>
        <v/>
      </c>
    </row>
    <row r="54" ht="15" customHeight="1" s="27">
      <c r="A54" s="39">
        <f>IF(B54="","",ROW()-2)</f>
        <v/>
      </c>
      <c r="B54" s="50" t="n">
        <v>46251</v>
      </c>
      <c r="C54" s="40" t="inlineStr">
        <is>
          <t>SIM-21</t>
        </is>
      </c>
      <c r="D54" s="40" t="inlineStr">
        <is>
          <t>Citas</t>
        </is>
      </c>
      <c r="E54" s="40" t="inlineStr">
        <is>
          <t>WhatsApp institucional</t>
        </is>
      </c>
      <c r="F54" s="40" t="inlineStr">
        <is>
          <t>No</t>
        </is>
      </c>
      <c r="G54" s="40" t="inlineStr">
        <is>
          <t>No</t>
        </is>
      </c>
      <c r="H54" s="54" t="n">
        <v>13.8</v>
      </c>
      <c r="I54" s="67">
        <f>IF(B54="","",IF(OR(D54="",F54="",G54=""),"Faltan datos",IF(AND(C54&lt;&gt;"",COUNTIF(Pacientes!$A$2:$A$46,C54)=0),"Código no registrado",IF(AND(F54="Sí",G54="Sí"),"Contradicción: resuelta y derivada","OK"))))</f>
        <v/>
      </c>
    </row>
    <row r="55" ht="15" customHeight="1" s="27">
      <c r="A55" s="39">
        <f>IF(B55="","",ROW()-2)</f>
        <v/>
      </c>
      <c r="B55" s="50" t="n">
        <v>46251</v>
      </c>
      <c r="C55" s="40" t="inlineStr">
        <is>
          <t>SIM-07</t>
        </is>
      </c>
      <c r="D55" s="40" t="inlineStr">
        <is>
          <t>Requisitos</t>
        </is>
      </c>
      <c r="E55" s="40" t="inlineStr">
        <is>
          <t>Presencial</t>
        </is>
      </c>
      <c r="F55" s="40" t="inlineStr">
        <is>
          <t>Sí</t>
        </is>
      </c>
      <c r="G55" s="40" t="inlineStr">
        <is>
          <t>No</t>
        </is>
      </c>
      <c r="H55" s="54" t="n">
        <v>7.7</v>
      </c>
      <c r="I55" s="67">
        <f>IF(B55="","",IF(OR(D55="",F55="",G55=""),"Faltan datos",IF(AND(C55&lt;&gt;"",COUNTIF(Pacientes!$A$2:$A$46,C55)=0),"Código no registrado",IF(AND(F55="Sí",G55="Sí"),"Contradicción: resuelta y derivada","OK"))))</f>
        <v/>
      </c>
    </row>
    <row r="56" ht="15" customHeight="1" s="27">
      <c r="A56" s="39">
        <f>IF(B56="","",ROW()-2)</f>
        <v/>
      </c>
      <c r="B56" s="50" t="n">
        <v>46251</v>
      </c>
      <c r="C56" s="40" t="inlineStr">
        <is>
          <t>SIM-11</t>
        </is>
      </c>
      <c r="D56" s="40" t="inlineStr">
        <is>
          <t>Horarios</t>
        </is>
      </c>
      <c r="E56" s="40" t="inlineStr">
        <is>
          <t>WhatsApp institucional</t>
        </is>
      </c>
      <c r="F56" s="40" t="inlineStr">
        <is>
          <t>Sí</t>
        </is>
      </c>
      <c r="G56" s="40" t="inlineStr">
        <is>
          <t>No</t>
        </is>
      </c>
      <c r="H56" s="54" t="n">
        <v>9.9</v>
      </c>
      <c r="I56" s="67">
        <f>IF(B56="","",IF(OR(D56="",F56="",G56=""),"Faltan datos",IF(AND(C56&lt;&gt;"",COUNTIF(Pacientes!$A$2:$A$46,C56)=0),"Código no registrado",IF(AND(F56="Sí",G56="Sí"),"Contradicción: resuelta y derivada","OK"))))</f>
        <v/>
      </c>
    </row>
    <row r="57" ht="15" customHeight="1" s="27">
      <c r="A57" s="39">
        <f>IF(B57="","",ROW()-2)</f>
        <v/>
      </c>
      <c r="B57" s="50" t="n">
        <v>46251</v>
      </c>
      <c r="C57" s="40" t="inlineStr">
        <is>
          <t>SIM-29</t>
        </is>
      </c>
      <c r="D57" s="40" t="inlineStr">
        <is>
          <t>Ubicación</t>
        </is>
      </c>
      <c r="E57" s="40" t="inlineStr">
        <is>
          <t>Telefónico</t>
        </is>
      </c>
      <c r="F57" s="40" t="inlineStr">
        <is>
          <t>No</t>
        </is>
      </c>
      <c r="G57" s="40" t="inlineStr">
        <is>
          <t>Sí</t>
        </is>
      </c>
      <c r="H57" s="54" t="n">
        <v>14.5</v>
      </c>
      <c r="I57" s="67">
        <f>IF(B57="","",IF(OR(D57="",F57="",G57=""),"Faltan datos",IF(AND(C57&lt;&gt;"",COUNTIF(Pacientes!$A$2:$A$46,C57)=0),"Código no registrado",IF(AND(F57="Sí",G57="Sí"),"Contradicción: resuelta y derivada","OK"))))</f>
        <v/>
      </c>
    </row>
    <row r="58" ht="15" customHeight="1" s="27">
      <c r="A58" s="39">
        <f>IF(B58="","",ROW()-2)</f>
        <v/>
      </c>
      <c r="B58" s="50" t="n">
        <v>46253</v>
      </c>
      <c r="C58" s="40" t="inlineStr">
        <is>
          <t>SIM-26</t>
        </is>
      </c>
      <c r="D58" s="40" t="inlineStr">
        <is>
          <t>Información institucional</t>
        </is>
      </c>
      <c r="E58" s="40" t="inlineStr">
        <is>
          <t>Presencial</t>
        </is>
      </c>
      <c r="F58" s="40" t="inlineStr">
        <is>
          <t>Sí</t>
        </is>
      </c>
      <c r="G58" s="40" t="inlineStr">
        <is>
          <t>No</t>
        </is>
      </c>
      <c r="H58" s="54" t="n">
        <v>16.8</v>
      </c>
      <c r="I58" s="67">
        <f>IF(B58="","",IF(OR(D58="",F58="",G58=""),"Faltan datos",IF(AND(C58&lt;&gt;"",COUNTIF(Pacientes!$A$2:$A$46,C58)=0),"Código no registrado",IF(AND(F58="Sí",G58="Sí"),"Contradicción: resuelta y derivada","OK"))))</f>
        <v/>
      </c>
    </row>
    <row r="59" ht="15" customHeight="1" s="27">
      <c r="A59" s="39">
        <f>IF(B59="","",ROW()-2)</f>
        <v/>
      </c>
      <c r="B59" s="50" t="n">
        <v>46253</v>
      </c>
      <c r="C59" s="40" t="inlineStr">
        <is>
          <t>SIM-17</t>
        </is>
      </c>
      <c r="D59" s="40" t="inlineStr">
        <is>
          <t>Información institucional</t>
        </is>
      </c>
      <c r="E59" s="40" t="inlineStr">
        <is>
          <t>WhatsApp institucional</t>
        </is>
      </c>
      <c r="F59" s="40" t="inlineStr">
        <is>
          <t>Sí</t>
        </is>
      </c>
      <c r="G59" s="40" t="inlineStr">
        <is>
          <t>No</t>
        </is>
      </c>
      <c r="H59" s="54" t="n">
        <v>16.2</v>
      </c>
      <c r="I59" s="67">
        <f>IF(B59="","",IF(OR(D59="",F59="",G59=""),"Faltan datos",IF(AND(C59&lt;&gt;"",COUNTIF(Pacientes!$A$2:$A$46,C59)=0),"Código no registrado",IF(AND(F59="Sí",G59="Sí"),"Contradicción: resuelta y derivada","OK"))))</f>
        <v/>
      </c>
    </row>
    <row r="60" ht="15" customHeight="1" s="27">
      <c r="A60" s="39">
        <f>IF(B60="","",ROW()-2)</f>
        <v/>
      </c>
      <c r="B60" s="50" t="n">
        <v>46253</v>
      </c>
      <c r="C60" s="40" t="inlineStr">
        <is>
          <t>SIM-05</t>
        </is>
      </c>
      <c r="D60" s="40" t="inlineStr">
        <is>
          <t>Citas</t>
        </is>
      </c>
      <c r="E60" s="40" t="inlineStr">
        <is>
          <t>Telefónico</t>
        </is>
      </c>
      <c r="F60" s="40" t="inlineStr">
        <is>
          <t>Sí</t>
        </is>
      </c>
      <c r="G60" s="40" t="inlineStr">
        <is>
          <t>No</t>
        </is>
      </c>
      <c r="H60" s="54" t="n">
        <v>10.6</v>
      </c>
      <c r="I60" s="67">
        <f>IF(B60="","",IF(OR(D60="",F60="",G60=""),"Faltan datos",IF(AND(C60&lt;&gt;"",COUNTIF(Pacientes!$A$2:$A$46,C60)=0),"Código no registrado",IF(AND(F60="Sí",G60="Sí"),"Contradicción: resuelta y derivada","OK"))))</f>
        <v/>
      </c>
    </row>
    <row r="61" ht="15" customHeight="1" s="27">
      <c r="A61" s="39">
        <f>IF(B61="","",ROW()-2)</f>
        <v/>
      </c>
      <c r="B61" s="50" t="n">
        <v>46253</v>
      </c>
      <c r="C61" s="40" t="inlineStr">
        <is>
          <t>SIM-12</t>
        </is>
      </c>
      <c r="D61" s="40" t="inlineStr">
        <is>
          <t>Horarios</t>
        </is>
      </c>
      <c r="E61" s="40" t="inlineStr">
        <is>
          <t>WhatsApp institucional</t>
        </is>
      </c>
      <c r="F61" s="40" t="inlineStr">
        <is>
          <t>No</t>
        </is>
      </c>
      <c r="G61" s="40" t="inlineStr">
        <is>
          <t>No</t>
        </is>
      </c>
      <c r="H61" s="54" t="n">
        <v>10.7</v>
      </c>
      <c r="I61" s="67">
        <f>IF(B61="","",IF(OR(D61="",F61="",G61=""),"Faltan datos",IF(AND(C61&lt;&gt;"",COUNTIF(Pacientes!$A$2:$A$46,C61)=0),"Código no registrado",IF(AND(F61="Sí",G61="Sí"),"Contradicción: resuelta y derivada","OK"))))</f>
        <v/>
      </c>
    </row>
    <row r="62" ht="15" customHeight="1" s="27">
      <c r="A62" s="39">
        <f>IF(B62="","",ROW()-2)</f>
        <v/>
      </c>
      <c r="B62" s="50" t="n">
        <v>46253</v>
      </c>
      <c r="C62" s="40" t="inlineStr">
        <is>
          <t>SIM-12</t>
        </is>
      </c>
      <c r="D62" s="40" t="inlineStr">
        <is>
          <t>Horarios</t>
        </is>
      </c>
      <c r="E62" s="40" t="inlineStr">
        <is>
          <t>WhatsApp institucional</t>
        </is>
      </c>
      <c r="F62" s="40" t="inlineStr">
        <is>
          <t>No</t>
        </is>
      </c>
      <c r="G62" s="40" t="inlineStr">
        <is>
          <t>Sí</t>
        </is>
      </c>
      <c r="H62" s="54" t="n">
        <v>10.7</v>
      </c>
      <c r="I62" s="67">
        <f>IF(B62="","",IF(OR(D62="",F62="",G62=""),"Faltan datos",IF(AND(C62&lt;&gt;"",COUNTIF(Pacientes!$A$2:$A$46,C62)=0),"Código no registrado",IF(AND(F62="Sí",G62="Sí"),"Contradicción: resuelta y derivada","OK"))))</f>
        <v/>
      </c>
    </row>
    <row r="63" ht="15" customHeight="1" s="27">
      <c r="A63" s="39">
        <f>IF(B63="","",ROW()-2)</f>
        <v/>
      </c>
      <c r="B63" s="50" t="n">
        <v>46253</v>
      </c>
      <c r="C63" s="40" t="inlineStr">
        <is>
          <t>SIM-25</t>
        </is>
      </c>
      <c r="D63" s="40" t="inlineStr">
        <is>
          <t>Citas</t>
        </is>
      </c>
      <c r="E63" s="40" t="inlineStr">
        <is>
          <t>WhatsApp institucional</t>
        </is>
      </c>
      <c r="F63" s="40" t="inlineStr">
        <is>
          <t>Sí</t>
        </is>
      </c>
      <c r="G63" s="40" t="inlineStr">
        <is>
          <t>No</t>
        </is>
      </c>
      <c r="H63" s="54" t="n">
        <v>11.9</v>
      </c>
      <c r="I63" s="67">
        <f>IF(B63="","",IF(OR(D63="",F63="",G63=""),"Faltan datos",IF(AND(C63&lt;&gt;"",COUNTIF(Pacientes!$A$2:$A$46,C63)=0),"Código no registrado",IF(AND(F63="Sí",G63="Sí"),"Contradicción: resuelta y derivada","OK"))))</f>
        <v/>
      </c>
    </row>
    <row r="64" ht="15" customHeight="1" s="27">
      <c r="A64" s="39">
        <f>IF(B64="","",ROW()-2)</f>
        <v/>
      </c>
      <c r="B64" s="50" t="n">
        <v>46253</v>
      </c>
      <c r="C64" s="40" t="inlineStr">
        <is>
          <t>SIM-13</t>
        </is>
      </c>
      <c r="D64" s="40" t="inlineStr">
        <is>
          <t>Citas</t>
        </is>
      </c>
      <c r="E64" s="40" t="inlineStr">
        <is>
          <t>WhatsApp institucional</t>
        </is>
      </c>
      <c r="F64" s="40" t="inlineStr">
        <is>
          <t>No</t>
        </is>
      </c>
      <c r="G64" s="40" t="inlineStr">
        <is>
          <t>Sí</t>
        </is>
      </c>
      <c r="H64" s="54" t="n">
        <v>5.2</v>
      </c>
      <c r="I64" s="67">
        <f>IF(B64="","",IF(OR(D64="",F64="",G64=""),"Faltan datos",IF(AND(C64&lt;&gt;"",COUNTIF(Pacientes!$A$2:$A$46,C64)=0),"Código no registrado",IF(AND(F64="Sí",G64="Sí"),"Contradicción: resuelta y derivada","OK"))))</f>
        <v/>
      </c>
    </row>
    <row r="65" ht="15" customHeight="1" s="27">
      <c r="A65" s="39">
        <f>IF(B65="","",ROW()-2)</f>
        <v/>
      </c>
      <c r="B65" s="50" t="n">
        <v>46255</v>
      </c>
      <c r="C65" s="40" t="inlineStr">
        <is>
          <t>SIM-23</t>
        </is>
      </c>
      <c r="D65" s="40" t="inlineStr">
        <is>
          <t>Seguimiento administrativo</t>
        </is>
      </c>
      <c r="E65" s="40" t="inlineStr">
        <is>
          <t>WhatsApp institucional</t>
        </is>
      </c>
      <c r="F65" s="40" t="inlineStr">
        <is>
          <t>Sí</t>
        </is>
      </c>
      <c r="G65" s="40" t="inlineStr">
        <is>
          <t>No</t>
        </is>
      </c>
      <c r="H65" s="54" t="n">
        <v>19.8</v>
      </c>
      <c r="I65" s="67">
        <f>IF(B65="","",IF(OR(D65="",F65="",G65=""),"Faltan datos",IF(AND(C65&lt;&gt;"",COUNTIF(Pacientes!$A$2:$A$46,C65)=0),"Código no registrado",IF(AND(F65="Sí",G65="Sí"),"Contradicción: resuelta y derivada","OK"))))</f>
        <v/>
      </c>
    </row>
    <row r="66" ht="15" customHeight="1" s="27">
      <c r="A66" s="39">
        <f>IF(B66="","",ROW()-2)</f>
        <v/>
      </c>
      <c r="B66" s="50" t="n">
        <v>46255</v>
      </c>
      <c r="C66" s="40" t="inlineStr">
        <is>
          <t>SIM-08</t>
        </is>
      </c>
      <c r="D66" s="40" t="inlineStr">
        <is>
          <t>Citas</t>
        </is>
      </c>
      <c r="E66" s="40" t="inlineStr">
        <is>
          <t>WhatsApp institucional</t>
        </is>
      </c>
      <c r="F66" s="40" t="inlineStr">
        <is>
          <t>Sí</t>
        </is>
      </c>
      <c r="G66" s="40" t="inlineStr">
        <is>
          <t>No</t>
        </is>
      </c>
      <c r="H66" s="54" t="n">
        <v>6.4</v>
      </c>
      <c r="I66" s="67">
        <f>IF(B66="","",IF(OR(D66="",F66="",G66=""),"Faltan datos",IF(AND(C66&lt;&gt;"",COUNTIF(Pacientes!$A$2:$A$46,C66)=0),"Código no registrado",IF(AND(F66="Sí",G66="Sí"),"Contradicción: resuelta y derivada","OK"))))</f>
        <v/>
      </c>
    </row>
    <row r="67" ht="15" customHeight="1" s="27">
      <c r="A67" s="39">
        <f>IF(B67="","",ROW()-2)</f>
        <v/>
      </c>
      <c r="B67" s="50" t="n">
        <v>46255</v>
      </c>
      <c r="C67" s="40" t="n"/>
      <c r="D67" s="40" t="inlineStr">
        <is>
          <t>Horarios</t>
        </is>
      </c>
      <c r="E67" s="40" t="inlineStr">
        <is>
          <t>Telefónico</t>
        </is>
      </c>
      <c r="F67" s="40" t="inlineStr">
        <is>
          <t>Sí</t>
        </is>
      </c>
      <c r="G67" s="40" t="inlineStr">
        <is>
          <t>No</t>
        </is>
      </c>
      <c r="H67" s="54" t="n">
        <v>9.9</v>
      </c>
      <c r="I67" s="67">
        <f>IF(B67="","",IF(OR(D67="",F67="",G67=""),"Faltan datos",IF(AND(C67&lt;&gt;"",COUNTIF(Pacientes!$A$2:$A$46,C67)=0),"Código no registrado",IF(AND(F67="Sí",G67="Sí"),"Contradicción: resuelta y derivada","OK"))))</f>
        <v/>
      </c>
    </row>
    <row r="68" ht="15" customHeight="1" s="27">
      <c r="A68" s="39">
        <f>IF(B68="","",ROW()-2)</f>
        <v/>
      </c>
      <c r="B68" s="50" t="n">
        <v>46255</v>
      </c>
      <c r="C68" s="40" t="inlineStr">
        <is>
          <t>SIM-10</t>
        </is>
      </c>
      <c r="D68" s="40" t="inlineStr">
        <is>
          <t>Horarios</t>
        </is>
      </c>
      <c r="E68" s="40" t="inlineStr">
        <is>
          <t>Telefónico</t>
        </is>
      </c>
      <c r="F68" s="40" t="inlineStr">
        <is>
          <t>No</t>
        </is>
      </c>
      <c r="G68" s="40" t="inlineStr">
        <is>
          <t>No</t>
        </is>
      </c>
      <c r="H68" s="54" t="n">
        <v>13.4</v>
      </c>
      <c r="I68" s="67">
        <f>IF(B68="","",IF(OR(D68="",F68="",G68=""),"Faltan datos",IF(AND(C68&lt;&gt;"",COUNTIF(Pacientes!$A$2:$A$46,C68)=0),"Código no registrado",IF(AND(F68="Sí",G68="Sí"),"Contradicción: resuelta y derivada","OK"))))</f>
        <v/>
      </c>
    </row>
    <row r="69" ht="15" customHeight="1" s="27">
      <c r="A69" s="39">
        <f>IF(B69="","",ROW()-2)</f>
        <v/>
      </c>
      <c r="B69" s="50" t="n">
        <v>46255</v>
      </c>
      <c r="C69" s="40" t="inlineStr">
        <is>
          <t>SIM-26</t>
        </is>
      </c>
      <c r="D69" s="40" t="inlineStr">
        <is>
          <t>Citas</t>
        </is>
      </c>
      <c r="E69" s="40" t="inlineStr">
        <is>
          <t>Presencial</t>
        </is>
      </c>
      <c r="F69" s="40" t="inlineStr">
        <is>
          <t>No</t>
        </is>
      </c>
      <c r="G69" s="40" t="inlineStr">
        <is>
          <t>Sí</t>
        </is>
      </c>
      <c r="H69" s="54" t="n">
        <v>19.2</v>
      </c>
      <c r="I69" s="67">
        <f>IF(B69="","",IF(OR(D69="",F69="",G69=""),"Faltan datos",IF(AND(C69&lt;&gt;"",COUNTIF(Pacientes!$A$2:$A$46,C69)=0),"Código no registrado",IF(AND(F69="Sí",G69="Sí"),"Contradicción: resuelta y derivada","OK"))))</f>
        <v/>
      </c>
    </row>
    <row r="70" ht="15" customHeight="1" s="27">
      <c r="A70" s="39">
        <f>IF(B70="","",ROW()-2)</f>
        <v/>
      </c>
      <c r="B70" s="50" t="n">
        <v>46255</v>
      </c>
      <c r="C70" s="40" t="inlineStr">
        <is>
          <t>SIM-18</t>
        </is>
      </c>
      <c r="D70" s="40" t="inlineStr">
        <is>
          <t>Ubicación</t>
        </is>
      </c>
      <c r="E70" s="40" t="inlineStr">
        <is>
          <t>Telefónico</t>
        </is>
      </c>
      <c r="F70" s="40" t="inlineStr">
        <is>
          <t>Sí</t>
        </is>
      </c>
      <c r="G70" s="40" t="inlineStr">
        <is>
          <t>No</t>
        </is>
      </c>
      <c r="H70" s="54" t="n">
        <v>8.5</v>
      </c>
      <c r="I70" s="67">
        <f>IF(B70="","",IF(OR(D70="",F70="",G70=""),"Faltan datos",IF(AND(C70&lt;&gt;"",COUNTIF(Pacientes!$A$2:$A$46,C70)=0),"Código no registrado",IF(AND(F70="Sí",G70="Sí"),"Contradicción: resuelta y derivada","OK"))))</f>
        <v/>
      </c>
    </row>
    <row r="71" ht="15" customHeight="1" s="27">
      <c r="A71" s="39">
        <f>IF(B71="","",ROW()-2)</f>
        <v/>
      </c>
      <c r="B71" s="50" t="n">
        <v>46255</v>
      </c>
      <c r="C71" s="40" t="inlineStr">
        <is>
          <t>SIM-25</t>
        </is>
      </c>
      <c r="D71" s="40" t="inlineStr">
        <is>
          <t>Requisitos</t>
        </is>
      </c>
      <c r="E71" s="40" t="inlineStr">
        <is>
          <t>Presencial</t>
        </is>
      </c>
      <c r="F71" s="40" t="inlineStr">
        <is>
          <t>Sí</t>
        </is>
      </c>
      <c r="G71" s="40" t="inlineStr">
        <is>
          <t>No</t>
        </is>
      </c>
      <c r="H71" s="54" t="n">
        <v>16.6</v>
      </c>
      <c r="I71" s="67">
        <f>IF(B71="","",IF(OR(D71="",F71="",G71=""),"Faltan datos",IF(AND(C71&lt;&gt;"",COUNTIF(Pacientes!$A$2:$A$46,C71)=0),"Código no registrado",IF(AND(F71="Sí",G71="Sí"),"Contradicción: resuelta y derivada","OK"))))</f>
        <v/>
      </c>
    </row>
    <row r="72" ht="15" customHeight="1" s="27">
      <c r="A72" s="39">
        <f>IF(B72="","",ROW()-2)</f>
        <v/>
      </c>
      <c r="B72" s="50" t="n">
        <v>46255</v>
      </c>
      <c r="C72" s="40" t="inlineStr">
        <is>
          <t>SIM-18</t>
        </is>
      </c>
      <c r="D72" s="40" t="inlineStr">
        <is>
          <t>Información institucional</t>
        </is>
      </c>
      <c r="E72" s="40" t="inlineStr">
        <is>
          <t>WhatsApp institucional</t>
        </is>
      </c>
      <c r="F72" s="40" t="inlineStr">
        <is>
          <t>No</t>
        </is>
      </c>
      <c r="G72" s="40" t="inlineStr">
        <is>
          <t>No</t>
        </is>
      </c>
      <c r="H72" s="54" t="n">
        <v>18.4</v>
      </c>
      <c r="I72" s="67">
        <f>IF(B72="","",IF(OR(D72="",F72="",G72=""),"Faltan datos",IF(AND(C72&lt;&gt;"",COUNTIF(Pacientes!$A$2:$A$46,C72)=0),"Código no registrado",IF(AND(F72="Sí",G72="Sí"),"Contradicción: resuelta y derivada","OK"))))</f>
        <v/>
      </c>
    </row>
    <row r="73" ht="15" customHeight="1" s="27">
      <c r="A73" s="39">
        <f>IF(B73="","",ROW()-2)</f>
        <v/>
      </c>
      <c r="B73" s="50" t="n">
        <v>46255</v>
      </c>
      <c r="C73" s="40" t="inlineStr">
        <is>
          <t>SIM-07</t>
        </is>
      </c>
      <c r="D73" s="40" t="inlineStr">
        <is>
          <t>Información institucional</t>
        </is>
      </c>
      <c r="E73" s="40" t="inlineStr">
        <is>
          <t>Telefónico</t>
        </is>
      </c>
      <c r="F73" s="40" t="inlineStr">
        <is>
          <t>Sí</t>
        </is>
      </c>
      <c r="G73" s="40" t="inlineStr">
        <is>
          <t>No</t>
        </is>
      </c>
      <c r="H73" s="54" t="n">
        <v>13.4</v>
      </c>
      <c r="I73" s="67">
        <f>IF(B73="","",IF(OR(D73="",F73="",G73=""),"Faltan datos",IF(AND(C73&lt;&gt;"",COUNTIF(Pacientes!$A$2:$A$46,C73)=0),"Código no registrado",IF(AND(F73="Sí",G73="Sí"),"Contradicción: resuelta y derivada","OK"))))</f>
        <v/>
      </c>
    </row>
    <row r="74" ht="15" customHeight="1" s="27">
      <c r="A74" s="39">
        <f>IF(B74="","",ROW()-2)</f>
        <v/>
      </c>
      <c r="B74" s="50" t="n">
        <v>46255</v>
      </c>
      <c r="C74" s="40" t="n"/>
      <c r="D74" s="40" t="inlineStr">
        <is>
          <t>Seguimiento administrativo</t>
        </is>
      </c>
      <c r="E74" s="40" t="inlineStr">
        <is>
          <t>Telefónico</t>
        </is>
      </c>
      <c r="F74" s="40" t="inlineStr">
        <is>
          <t>Sí</t>
        </is>
      </c>
      <c r="G74" s="40" t="inlineStr">
        <is>
          <t>No</t>
        </is>
      </c>
      <c r="H74" s="54" t="n">
        <v>6.9</v>
      </c>
      <c r="I74" s="67">
        <f>IF(B74="","",IF(OR(D74="",F74="",G74=""),"Faltan datos",IF(AND(C74&lt;&gt;"",COUNTIF(Pacientes!$A$2:$A$46,C74)=0),"Código no registrado",IF(AND(F74="Sí",G74="Sí"),"Contradicción: resuelta y derivada","OK"))))</f>
        <v/>
      </c>
    </row>
    <row r="75" ht="15" customHeight="1" s="27">
      <c r="A75" s="39">
        <f>IF(B75="","",ROW()-2)</f>
        <v/>
      </c>
      <c r="B75" s="50" t="n">
        <v>46258</v>
      </c>
      <c r="C75" s="40" t="inlineStr">
        <is>
          <t>SIM-27</t>
        </is>
      </c>
      <c r="D75" s="40" t="inlineStr">
        <is>
          <t>Requisitos</t>
        </is>
      </c>
      <c r="E75" s="40" t="inlineStr">
        <is>
          <t>Telefónico</t>
        </is>
      </c>
      <c r="F75" s="40" t="inlineStr">
        <is>
          <t>No</t>
        </is>
      </c>
      <c r="G75" s="40" t="inlineStr">
        <is>
          <t>Sí</t>
        </is>
      </c>
      <c r="H75" s="54" t="n">
        <v>19.7</v>
      </c>
      <c r="I75" s="67">
        <f>IF(B75="","",IF(OR(D75="",F75="",G75=""),"Faltan datos",IF(AND(C75&lt;&gt;"",COUNTIF(Pacientes!$A$2:$A$46,C75)=0),"Código no registrado",IF(AND(F75="Sí",G75="Sí"),"Contradicción: resuelta y derivada","OK"))))</f>
        <v/>
      </c>
    </row>
    <row r="76" ht="15" customHeight="1" s="27">
      <c r="A76" s="39">
        <f>IF(B76="","",ROW()-2)</f>
        <v/>
      </c>
      <c r="B76" s="50" t="n">
        <v>46258</v>
      </c>
      <c r="C76" s="40" t="inlineStr">
        <is>
          <t>SIM-17</t>
        </is>
      </c>
      <c r="D76" s="40" t="inlineStr">
        <is>
          <t>Ubicación</t>
        </is>
      </c>
      <c r="E76" s="40" t="inlineStr">
        <is>
          <t>Presencial</t>
        </is>
      </c>
      <c r="F76" s="40" t="inlineStr">
        <is>
          <t>No</t>
        </is>
      </c>
      <c r="G76" s="40" t="inlineStr">
        <is>
          <t>Sí</t>
        </is>
      </c>
      <c r="H76" s="54" t="n">
        <v>10.3</v>
      </c>
      <c r="I76" s="67">
        <f>IF(B76="","",IF(OR(D76="",F76="",G76=""),"Faltan datos",IF(AND(C76&lt;&gt;"",COUNTIF(Pacientes!$A$2:$A$46,C76)=0),"Código no registrado",IF(AND(F76="Sí",G76="Sí"),"Contradicción: resuelta y derivada","OK"))))</f>
        <v/>
      </c>
    </row>
    <row r="77" ht="15" customHeight="1" s="27">
      <c r="A77" s="39">
        <f>IF(B77="","",ROW()-2)</f>
        <v/>
      </c>
      <c r="B77" s="50" t="n">
        <v>46258</v>
      </c>
      <c r="C77" s="40" t="n"/>
      <c r="D77" s="40" t="inlineStr">
        <is>
          <t>Información institucional</t>
        </is>
      </c>
      <c r="E77" s="40" t="inlineStr">
        <is>
          <t>Presencial</t>
        </is>
      </c>
      <c r="F77" s="40" t="inlineStr">
        <is>
          <t>No</t>
        </is>
      </c>
      <c r="G77" s="40" t="inlineStr">
        <is>
          <t>Sí</t>
        </is>
      </c>
      <c r="H77" s="54" t="n">
        <v>14.3</v>
      </c>
      <c r="I77" s="67">
        <f>IF(B77="","",IF(OR(D77="",F77="",G77=""),"Faltan datos",IF(AND(C77&lt;&gt;"",COUNTIF(Pacientes!$A$2:$A$46,C77)=0),"Código no registrado",IF(AND(F77="Sí",G77="Sí"),"Contradicción: resuelta y derivada","OK"))))</f>
        <v/>
      </c>
    </row>
    <row r="78" ht="15" customHeight="1" s="27">
      <c r="A78" s="39">
        <f>IF(B78="","",ROW()-2)</f>
        <v/>
      </c>
      <c r="B78" s="50" t="n">
        <v>46258</v>
      </c>
      <c r="C78" s="40" t="inlineStr">
        <is>
          <t>SIM-13</t>
        </is>
      </c>
      <c r="D78" s="40" t="inlineStr">
        <is>
          <t>Información institucional</t>
        </is>
      </c>
      <c r="E78" s="40" t="inlineStr">
        <is>
          <t>Telefónico</t>
        </is>
      </c>
      <c r="F78" s="40" t="inlineStr">
        <is>
          <t>Sí</t>
        </is>
      </c>
      <c r="G78" s="40" t="inlineStr">
        <is>
          <t>No</t>
        </is>
      </c>
      <c r="H78" s="54" t="n">
        <v>15.7</v>
      </c>
      <c r="I78" s="67">
        <f>IF(B78="","",IF(OR(D78="",F78="",G78=""),"Faltan datos",IF(AND(C78&lt;&gt;"",COUNTIF(Pacientes!$A$2:$A$46,C78)=0),"Código no registrado",IF(AND(F78="Sí",G78="Sí"),"Contradicción: resuelta y derivada","OK"))))</f>
        <v/>
      </c>
    </row>
    <row r="79" ht="15" customHeight="1" s="27">
      <c r="A79" s="39">
        <f>IF(B79="","",ROW()-2)</f>
        <v/>
      </c>
      <c r="B79" s="50" t="n">
        <v>46258</v>
      </c>
      <c r="C79" s="40" t="inlineStr">
        <is>
          <t>SIM-28</t>
        </is>
      </c>
      <c r="D79" s="40" t="inlineStr">
        <is>
          <t>Seguimiento administrativo</t>
        </is>
      </c>
      <c r="E79" s="40" t="inlineStr">
        <is>
          <t>Presencial</t>
        </is>
      </c>
      <c r="F79" s="40" t="inlineStr">
        <is>
          <t>Sí</t>
        </is>
      </c>
      <c r="G79" s="40" t="inlineStr">
        <is>
          <t>No</t>
        </is>
      </c>
      <c r="H79" s="54" t="n">
        <v>14.6</v>
      </c>
      <c r="I79" s="67">
        <f>IF(B79="","",IF(OR(D79="",F79="",G79=""),"Faltan datos",IF(AND(C79&lt;&gt;"",COUNTIF(Pacientes!$A$2:$A$46,C79)=0),"Código no registrado",IF(AND(F79="Sí",G79="Sí"),"Contradicción: resuelta y derivada","OK"))))</f>
        <v/>
      </c>
    </row>
    <row r="80" ht="15" customHeight="1" s="27">
      <c r="A80" s="39">
        <f>IF(B80="","",ROW()-2)</f>
        <v/>
      </c>
      <c r="B80" s="50" t="n">
        <v>46258</v>
      </c>
      <c r="C80" s="40" t="inlineStr">
        <is>
          <t>SIM-28</t>
        </is>
      </c>
      <c r="D80" s="40" t="inlineStr">
        <is>
          <t>Información institucional</t>
        </is>
      </c>
      <c r="E80" s="40" t="inlineStr">
        <is>
          <t>Telefónico</t>
        </is>
      </c>
      <c r="F80" s="40" t="inlineStr">
        <is>
          <t>No</t>
        </is>
      </c>
      <c r="G80" s="40" t="inlineStr">
        <is>
          <t>Sí</t>
        </is>
      </c>
      <c r="H80" s="54" t="n">
        <v>12.3</v>
      </c>
      <c r="I80" s="67">
        <f>IF(B80="","",IF(OR(D80="",F80="",G80=""),"Faltan datos",IF(AND(C80&lt;&gt;"",COUNTIF(Pacientes!$A$2:$A$46,C80)=0),"Código no registrado",IF(AND(F80="Sí",G80="Sí"),"Contradicción: resuelta y derivada","OK"))))</f>
        <v/>
      </c>
    </row>
    <row r="81" ht="15" customHeight="1" s="27">
      <c r="A81" s="39">
        <f>IF(B81="","",ROW()-2)</f>
        <v/>
      </c>
      <c r="B81" s="50" t="n">
        <v>46258</v>
      </c>
      <c r="C81" s="40" t="inlineStr">
        <is>
          <t>SIM-24</t>
        </is>
      </c>
      <c r="D81" s="40" t="inlineStr">
        <is>
          <t>Información institucional</t>
        </is>
      </c>
      <c r="E81" s="40" t="inlineStr">
        <is>
          <t>Presencial</t>
        </is>
      </c>
      <c r="F81" s="40" t="inlineStr">
        <is>
          <t>No</t>
        </is>
      </c>
      <c r="G81" s="40" t="inlineStr">
        <is>
          <t>Sí</t>
        </is>
      </c>
      <c r="H81" s="54" t="n">
        <v>10</v>
      </c>
      <c r="I81" s="67">
        <f>IF(B81="","",IF(OR(D81="",F81="",G81=""),"Faltan datos",IF(AND(C81&lt;&gt;"",COUNTIF(Pacientes!$A$2:$A$46,C81)=0),"Código no registrado",IF(AND(F81="Sí",G81="Sí"),"Contradicción: resuelta y derivada","OK"))))</f>
        <v/>
      </c>
    </row>
    <row r="82" ht="15" customHeight="1" s="27">
      <c r="A82" s="39">
        <f>IF(B82="","",ROW()-2)</f>
        <v/>
      </c>
      <c r="B82" s="50" t="n">
        <v>46258</v>
      </c>
      <c r="C82" s="40" t="inlineStr">
        <is>
          <t>SIM-10</t>
        </is>
      </c>
      <c r="D82" s="40" t="inlineStr">
        <is>
          <t>Horarios</t>
        </is>
      </c>
      <c r="E82" s="40" t="inlineStr">
        <is>
          <t>Telefónico</t>
        </is>
      </c>
      <c r="F82" s="40" t="inlineStr">
        <is>
          <t>Sí</t>
        </is>
      </c>
      <c r="G82" s="40" t="inlineStr">
        <is>
          <t>No</t>
        </is>
      </c>
      <c r="H82" s="54" t="n">
        <v>14.7</v>
      </c>
      <c r="I82" s="67">
        <f>IF(B82="","",IF(OR(D82="",F82="",G82=""),"Faltan datos",IF(AND(C82&lt;&gt;"",COUNTIF(Pacientes!$A$2:$A$46,C82)=0),"Código no registrado",IF(AND(F82="Sí",G82="Sí"),"Contradicción: resuelta y derivada","OK"))))</f>
        <v/>
      </c>
    </row>
    <row r="83" ht="15" customHeight="1" s="27">
      <c r="A83" s="39">
        <f>IF(B83="","",ROW()-2)</f>
        <v/>
      </c>
      <c r="B83" s="50" t="n">
        <v>46258</v>
      </c>
      <c r="C83" s="40" t="inlineStr">
        <is>
          <t>SIM-19</t>
        </is>
      </c>
      <c r="D83" s="40" t="inlineStr">
        <is>
          <t>Otro</t>
        </is>
      </c>
      <c r="E83" s="40" t="inlineStr">
        <is>
          <t>Telefónico</t>
        </is>
      </c>
      <c r="F83" s="40" t="inlineStr">
        <is>
          <t>Sí</t>
        </is>
      </c>
      <c r="G83" s="40" t="inlineStr">
        <is>
          <t>No</t>
        </is>
      </c>
      <c r="H83" s="54" t="n">
        <v>19.4</v>
      </c>
      <c r="I83" s="67">
        <f>IF(B83="","",IF(OR(D83="",F83="",G83=""),"Faltan datos",IF(AND(C83&lt;&gt;"",COUNTIF(Pacientes!$A$2:$A$46,C83)=0),"Código no registrado",IF(AND(F83="Sí",G83="Sí"),"Contradicción: resuelta y derivada","OK"))))</f>
        <v/>
      </c>
    </row>
    <row r="84" ht="15" customHeight="1" s="27">
      <c r="A84" s="39">
        <f>IF(B84="","",ROW()-2)</f>
        <v/>
      </c>
      <c r="B84" s="50" t="n">
        <v>46260</v>
      </c>
      <c r="C84" s="40" t="n"/>
      <c r="D84" s="40" t="inlineStr">
        <is>
          <t>Otro</t>
        </is>
      </c>
      <c r="E84" s="40" t="inlineStr">
        <is>
          <t>WhatsApp institucional</t>
        </is>
      </c>
      <c r="F84" s="40" t="inlineStr">
        <is>
          <t>No</t>
        </is>
      </c>
      <c r="G84" s="40" t="inlineStr">
        <is>
          <t>No</t>
        </is>
      </c>
      <c r="H84" s="54" t="n">
        <v>19.3</v>
      </c>
      <c r="I84" s="67">
        <f>IF(B84="","",IF(OR(D84="",F84="",G84=""),"Faltan datos",IF(AND(C84&lt;&gt;"",COUNTIF(Pacientes!$A$2:$A$46,C84)=0),"Código no registrado",IF(AND(F84="Sí",G84="Sí"),"Contradicción: resuelta y derivada","OK"))))</f>
        <v/>
      </c>
    </row>
    <row r="85" ht="15" customHeight="1" s="27">
      <c r="A85" s="39">
        <f>IF(B85="","",ROW()-2)</f>
        <v/>
      </c>
      <c r="B85" s="50" t="n">
        <v>46260</v>
      </c>
      <c r="C85" s="40" t="inlineStr">
        <is>
          <t>SIM-30</t>
        </is>
      </c>
      <c r="D85" s="40" t="inlineStr">
        <is>
          <t>Ubicación</t>
        </is>
      </c>
      <c r="E85" s="40" t="inlineStr">
        <is>
          <t>WhatsApp institucional</t>
        </is>
      </c>
      <c r="F85" s="40" t="inlineStr">
        <is>
          <t>Sí</t>
        </is>
      </c>
      <c r="G85" s="40" t="inlineStr">
        <is>
          <t>No</t>
        </is>
      </c>
      <c r="H85" s="54" t="n">
        <v>9.699999999999999</v>
      </c>
      <c r="I85" s="67">
        <f>IF(B85="","",IF(OR(D85="",F85="",G85=""),"Faltan datos",IF(AND(C85&lt;&gt;"",COUNTIF(Pacientes!$A$2:$A$46,C85)=0),"Código no registrado",IF(AND(F85="Sí",G85="Sí"),"Contradicción: resuelta y derivada","OK"))))</f>
        <v/>
      </c>
    </row>
    <row r="86" ht="15" customHeight="1" s="27">
      <c r="A86" s="39">
        <f>IF(B86="","",ROW()-2)</f>
        <v/>
      </c>
      <c r="B86" s="50" t="n">
        <v>46260</v>
      </c>
      <c r="C86" s="40" t="inlineStr">
        <is>
          <t>SIM-26</t>
        </is>
      </c>
      <c r="D86" s="40" t="inlineStr">
        <is>
          <t>Información institucional</t>
        </is>
      </c>
      <c r="E86" s="40" t="inlineStr">
        <is>
          <t>Presencial</t>
        </is>
      </c>
      <c r="F86" s="40" t="inlineStr">
        <is>
          <t>No</t>
        </is>
      </c>
      <c r="G86" s="40" t="inlineStr">
        <is>
          <t>No</t>
        </is>
      </c>
      <c r="H86" s="54" t="n">
        <v>17.7</v>
      </c>
      <c r="I86" s="67">
        <f>IF(B86="","",IF(OR(D86="",F86="",G86=""),"Faltan datos",IF(AND(C86&lt;&gt;"",COUNTIF(Pacientes!$A$2:$A$46,C86)=0),"Código no registrado",IF(AND(F86="Sí",G86="Sí"),"Contradicción: resuelta y derivada","OK"))))</f>
        <v/>
      </c>
    </row>
    <row r="87" ht="15" customHeight="1" s="27">
      <c r="A87" s="39">
        <f>IF(B87="","",ROW()-2)</f>
        <v/>
      </c>
      <c r="B87" s="50" t="n">
        <v>46260</v>
      </c>
      <c r="C87" s="40" t="n"/>
      <c r="D87" s="40" t="inlineStr">
        <is>
          <t>Ubicación</t>
        </is>
      </c>
      <c r="E87" s="40" t="inlineStr">
        <is>
          <t>Telefónico</t>
        </is>
      </c>
      <c r="F87" s="40" t="inlineStr">
        <is>
          <t>Sí</t>
        </is>
      </c>
      <c r="G87" s="40" t="inlineStr">
        <is>
          <t>No</t>
        </is>
      </c>
      <c r="H87" s="54" t="n">
        <v>18.8</v>
      </c>
      <c r="I87" s="67">
        <f>IF(B87="","",IF(OR(D87="",F87="",G87=""),"Faltan datos",IF(AND(C87&lt;&gt;"",COUNTIF(Pacientes!$A$2:$A$46,C87)=0),"Código no registrado",IF(AND(F87="Sí",G87="Sí"),"Contradicción: resuelta y derivada","OK"))))</f>
        <v/>
      </c>
    </row>
    <row r="88" ht="15" customHeight="1" s="27">
      <c r="A88" s="39">
        <f>IF(B88="","",ROW()-2)</f>
        <v/>
      </c>
      <c r="B88" s="50" t="n">
        <v>46260</v>
      </c>
      <c r="C88" s="40" t="n"/>
      <c r="D88" s="40" t="inlineStr">
        <is>
          <t>Seguimiento administrativo</t>
        </is>
      </c>
      <c r="E88" s="40" t="inlineStr">
        <is>
          <t>WhatsApp institucional</t>
        </is>
      </c>
      <c r="F88" s="40" t="inlineStr">
        <is>
          <t>Sí</t>
        </is>
      </c>
      <c r="G88" s="40" t="inlineStr">
        <is>
          <t>No</t>
        </is>
      </c>
      <c r="H88" s="54" t="n">
        <v>15.9</v>
      </c>
      <c r="I88" s="67">
        <f>IF(B88="","",IF(OR(D88="",F88="",G88=""),"Faltan datos",IF(AND(C88&lt;&gt;"",COUNTIF(Pacientes!$A$2:$A$46,C88)=0),"Código no registrado",IF(AND(F88="Sí",G88="Sí"),"Contradicción: resuelta y derivada","OK"))))</f>
        <v/>
      </c>
    </row>
    <row r="89" ht="15" customHeight="1" s="27">
      <c r="A89" s="39">
        <f>IF(B89="","",ROW()-2)</f>
        <v/>
      </c>
      <c r="B89" s="50" t="n">
        <v>46260</v>
      </c>
      <c r="C89" s="40" t="inlineStr">
        <is>
          <t>SIM-06</t>
        </is>
      </c>
      <c r="D89" s="40" t="inlineStr">
        <is>
          <t>Información institucional</t>
        </is>
      </c>
      <c r="E89" s="40" t="inlineStr">
        <is>
          <t>WhatsApp institucional</t>
        </is>
      </c>
      <c r="F89" s="40" t="inlineStr">
        <is>
          <t>No</t>
        </is>
      </c>
      <c r="G89" s="40" t="inlineStr">
        <is>
          <t>Sí</t>
        </is>
      </c>
      <c r="H89" s="54" t="n">
        <v>13.8</v>
      </c>
      <c r="I89" s="67">
        <f>IF(B89="","",IF(OR(D89="",F89="",G89=""),"Faltan datos",IF(AND(C89&lt;&gt;"",COUNTIF(Pacientes!$A$2:$A$46,C89)=0),"Código no registrado",IF(AND(F89="Sí",G89="Sí"),"Contradicción: resuelta y derivada","OK"))))</f>
        <v/>
      </c>
    </row>
    <row r="90" ht="15" customHeight="1" s="27">
      <c r="A90" s="39">
        <f>IF(B90="","",ROW()-2)</f>
        <v/>
      </c>
      <c r="B90" s="50" t="n">
        <v>46260</v>
      </c>
      <c r="C90" s="40" t="n"/>
      <c r="D90" s="40" t="inlineStr">
        <is>
          <t>Información institucional</t>
        </is>
      </c>
      <c r="E90" s="40" t="inlineStr">
        <is>
          <t>WhatsApp institucional</t>
        </is>
      </c>
      <c r="F90" s="40" t="inlineStr">
        <is>
          <t>Sí</t>
        </is>
      </c>
      <c r="G90" s="40" t="inlineStr">
        <is>
          <t>No</t>
        </is>
      </c>
      <c r="H90" s="54" t="n">
        <v>19.1</v>
      </c>
      <c r="I90" s="67">
        <f>IF(B90="","",IF(OR(D90="",F90="",G90=""),"Faltan datos",IF(AND(C90&lt;&gt;"",COUNTIF(Pacientes!$A$2:$A$46,C90)=0),"Código no registrado",IF(AND(F90="Sí",G90="Sí"),"Contradicción: resuelta y derivada","OK"))))</f>
        <v/>
      </c>
    </row>
    <row r="91" ht="15" customHeight="1" s="27">
      <c r="A91" s="39">
        <f>IF(B91="","",ROW()-2)</f>
        <v/>
      </c>
      <c r="B91" s="50" t="n">
        <v>46262</v>
      </c>
      <c r="C91" s="40" t="inlineStr">
        <is>
          <t>SIM-20</t>
        </is>
      </c>
      <c r="D91" s="40" t="inlineStr">
        <is>
          <t>Seguimiento administrativo</t>
        </is>
      </c>
      <c r="E91" s="40" t="inlineStr">
        <is>
          <t>Telefónico</t>
        </is>
      </c>
      <c r="F91" s="40" t="inlineStr">
        <is>
          <t>Sí</t>
        </is>
      </c>
      <c r="G91" s="40" t="inlineStr">
        <is>
          <t>No</t>
        </is>
      </c>
      <c r="H91" s="54" t="n">
        <v>12.6</v>
      </c>
      <c r="I91" s="67">
        <f>IF(B91="","",IF(OR(D91="",F91="",G91=""),"Faltan datos",IF(AND(C91&lt;&gt;"",COUNTIF(Pacientes!$A$2:$A$46,C91)=0),"Código no registrado",IF(AND(F91="Sí",G91="Sí"),"Contradicción: resuelta y derivada","OK"))))</f>
        <v/>
      </c>
    </row>
    <row r="92" ht="15" customHeight="1" s="27">
      <c r="A92" s="39">
        <f>IF(B92="","",ROW()-2)</f>
        <v/>
      </c>
      <c r="B92" s="50" t="n">
        <v>46262</v>
      </c>
      <c r="C92" s="40" t="inlineStr">
        <is>
          <t>SIM-12</t>
        </is>
      </c>
      <c r="D92" s="40" t="inlineStr">
        <is>
          <t>Horarios</t>
        </is>
      </c>
      <c r="E92" s="40" t="inlineStr">
        <is>
          <t>WhatsApp institucional</t>
        </is>
      </c>
      <c r="F92" s="40" t="inlineStr">
        <is>
          <t>Sí</t>
        </is>
      </c>
      <c r="G92" s="40" t="inlineStr">
        <is>
          <t>No</t>
        </is>
      </c>
      <c r="H92" s="54" t="n">
        <v>10.7</v>
      </c>
      <c r="I92" s="67">
        <f>IF(B92="","",IF(OR(D92="",F92="",G92=""),"Faltan datos",IF(AND(C92&lt;&gt;"",COUNTIF(Pacientes!$A$2:$A$46,C92)=0),"Código no registrado",IF(AND(F92="Sí",G92="Sí"),"Contradicción: resuelta y derivada","OK"))))</f>
        <v/>
      </c>
    </row>
    <row r="93" ht="15" customHeight="1" s="27">
      <c r="A93" s="39">
        <f>IF(B93="","",ROW()-2)</f>
        <v/>
      </c>
      <c r="B93" s="50" t="n">
        <v>46262</v>
      </c>
      <c r="C93" s="40" t="inlineStr">
        <is>
          <t>SIM-03</t>
        </is>
      </c>
      <c r="D93" s="40" t="inlineStr">
        <is>
          <t>Seguimiento administrativo</t>
        </is>
      </c>
      <c r="E93" s="40" t="inlineStr">
        <is>
          <t>Telefónico</t>
        </is>
      </c>
      <c r="F93" s="40" t="inlineStr">
        <is>
          <t>Sí</t>
        </is>
      </c>
      <c r="G93" s="40" t="inlineStr">
        <is>
          <t>No</t>
        </is>
      </c>
      <c r="H93" s="54" t="n">
        <v>11.8</v>
      </c>
      <c r="I93" s="67">
        <f>IF(B93="","",IF(OR(D93="",F93="",G93=""),"Faltan datos",IF(AND(C93&lt;&gt;"",COUNTIF(Pacientes!$A$2:$A$46,C93)=0),"Código no registrado",IF(AND(F93="Sí",G93="Sí"),"Contradicción: resuelta y derivada","OK"))))</f>
        <v/>
      </c>
    </row>
    <row r="94" ht="15" customHeight="1" s="27">
      <c r="A94" s="39">
        <f>IF(B94="","",ROW()-2)</f>
        <v/>
      </c>
      <c r="B94" s="50" t="n">
        <v>46262</v>
      </c>
      <c r="C94" s="40" t="inlineStr">
        <is>
          <t>SIM-27</t>
        </is>
      </c>
      <c r="D94" s="40" t="inlineStr">
        <is>
          <t>Información institucional</t>
        </is>
      </c>
      <c r="E94" s="40" t="inlineStr">
        <is>
          <t>Presencial</t>
        </is>
      </c>
      <c r="F94" s="40" t="inlineStr">
        <is>
          <t>Sí</t>
        </is>
      </c>
      <c r="G94" s="40" t="inlineStr">
        <is>
          <t>No</t>
        </is>
      </c>
      <c r="H94" s="54" t="n">
        <v>8.9</v>
      </c>
      <c r="I94" s="67">
        <f>IF(B94="","",IF(OR(D94="",F94="",G94=""),"Faltan datos",IF(AND(C94&lt;&gt;"",COUNTIF(Pacientes!$A$2:$A$46,C94)=0),"Código no registrado",IF(AND(F94="Sí",G94="Sí"),"Contradicción: resuelta y derivada","OK"))))</f>
        <v/>
      </c>
    </row>
    <row r="95" ht="15" customHeight="1" s="27">
      <c r="A95" s="39">
        <f>IF(B95="","",ROW()-2)</f>
        <v/>
      </c>
      <c r="B95" s="50" t="n">
        <v>46262</v>
      </c>
      <c r="C95" s="40" t="inlineStr">
        <is>
          <t>SIM-05</t>
        </is>
      </c>
      <c r="D95" s="40" t="inlineStr">
        <is>
          <t>Otro</t>
        </is>
      </c>
      <c r="E95" s="40" t="inlineStr">
        <is>
          <t>Presencial</t>
        </is>
      </c>
      <c r="F95" s="40" t="inlineStr">
        <is>
          <t>Sí</t>
        </is>
      </c>
      <c r="G95" s="40" t="inlineStr">
        <is>
          <t>No</t>
        </is>
      </c>
      <c r="H95" s="54" t="n">
        <v>16.8</v>
      </c>
      <c r="I95" s="67">
        <f>IF(B95="","",IF(OR(D95="",F95="",G95=""),"Faltan datos",IF(AND(C95&lt;&gt;"",COUNTIF(Pacientes!$A$2:$A$46,C95)=0),"Código no registrado",IF(AND(F95="Sí",G95="Sí"),"Contradicción: resuelta y derivada","OK"))))</f>
        <v/>
      </c>
    </row>
    <row r="96" ht="15" customHeight="1" s="27">
      <c r="A96" s="39">
        <f>IF(B96="","",ROW()-2)</f>
        <v/>
      </c>
      <c r="B96" s="50" t="n">
        <v>46262</v>
      </c>
      <c r="C96" s="40" t="inlineStr">
        <is>
          <t>SIM-13</t>
        </is>
      </c>
      <c r="D96" s="40" t="inlineStr">
        <is>
          <t>Seguimiento administrativo</t>
        </is>
      </c>
      <c r="E96" s="40" t="inlineStr">
        <is>
          <t>Telefónico</t>
        </is>
      </c>
      <c r="F96" s="40" t="inlineStr">
        <is>
          <t>Sí</t>
        </is>
      </c>
      <c r="G96" s="40" t="inlineStr">
        <is>
          <t>No</t>
        </is>
      </c>
      <c r="H96" s="54" t="n">
        <v>15.7</v>
      </c>
      <c r="I96" s="67">
        <f>IF(B96="","",IF(OR(D96="",F96="",G96=""),"Faltan datos",IF(AND(C96&lt;&gt;"",COUNTIF(Pacientes!$A$2:$A$46,C96)=0),"Código no registrado",IF(AND(F96="Sí",G96="Sí"),"Contradicción: resuelta y derivada","OK"))))</f>
        <v/>
      </c>
    </row>
    <row r="97" ht="15" customHeight="1" s="27">
      <c r="A97" s="39">
        <f>IF(B97="","",ROW()-2)</f>
        <v/>
      </c>
      <c r="B97" s="50" t="n">
        <v>46262</v>
      </c>
      <c r="C97" s="40" t="inlineStr">
        <is>
          <t>SIM-24</t>
        </is>
      </c>
      <c r="D97" s="40" t="inlineStr">
        <is>
          <t>Seguimiento administrativo</t>
        </is>
      </c>
      <c r="E97" s="40" t="inlineStr">
        <is>
          <t>WhatsApp institucional</t>
        </is>
      </c>
      <c r="F97" s="40" t="inlineStr">
        <is>
          <t>Sí</t>
        </is>
      </c>
      <c r="G97" s="40" t="inlineStr">
        <is>
          <t>No</t>
        </is>
      </c>
      <c r="H97" s="54" t="n">
        <v>14.4</v>
      </c>
      <c r="I97" s="67">
        <f>IF(B97="","",IF(OR(D97="",F97="",G97=""),"Faltan datos",IF(AND(C97&lt;&gt;"",COUNTIF(Pacientes!$A$2:$A$46,C97)=0),"Código no registrado",IF(AND(F97="Sí",G97="Sí"),"Contradicción: resuelta y derivada","OK"))))</f>
        <v/>
      </c>
    </row>
    <row r="98" ht="15" customHeight="1" s="27">
      <c r="A98" s="39">
        <f>IF(B98="","",ROW()-2)</f>
        <v/>
      </c>
      <c r="B98" s="50" t="n">
        <v>46262</v>
      </c>
      <c r="C98" s="40" t="inlineStr">
        <is>
          <t>SIM-05</t>
        </is>
      </c>
      <c r="D98" s="40" t="inlineStr">
        <is>
          <t>Otro</t>
        </is>
      </c>
      <c r="E98" s="40" t="inlineStr">
        <is>
          <t>Presencial</t>
        </is>
      </c>
      <c r="F98" s="40" t="inlineStr">
        <is>
          <t>No</t>
        </is>
      </c>
      <c r="G98" s="40" t="inlineStr">
        <is>
          <t>Sí</t>
        </is>
      </c>
      <c r="H98" s="54" t="n">
        <v>19.4</v>
      </c>
      <c r="I98" s="67">
        <f>IF(B98="","",IF(OR(D98="",F98="",G98=""),"Faltan datos",IF(AND(C98&lt;&gt;"",COUNTIF(Pacientes!$A$2:$A$46,C98)=0),"Código no registrado",IF(AND(F98="Sí",G98="Sí"),"Contradicción: resuelta y derivada","OK"))))</f>
        <v/>
      </c>
    </row>
    <row r="99" ht="15" customHeight="1" s="27">
      <c r="A99" s="39">
        <f>IF(B99="","",ROW()-2)</f>
        <v/>
      </c>
      <c r="B99" s="50" t="n">
        <v>46265</v>
      </c>
      <c r="C99" s="40" t="inlineStr">
        <is>
          <t>SIM-11</t>
        </is>
      </c>
      <c r="D99" s="40" t="inlineStr">
        <is>
          <t>Información institucional</t>
        </is>
      </c>
      <c r="E99" s="40" t="inlineStr">
        <is>
          <t>Telefónico</t>
        </is>
      </c>
      <c r="F99" s="40" t="inlineStr">
        <is>
          <t>No</t>
        </is>
      </c>
      <c r="G99" s="40" t="inlineStr">
        <is>
          <t>Sí</t>
        </is>
      </c>
      <c r="H99" s="54" t="n">
        <v>14.6</v>
      </c>
      <c r="I99" s="67">
        <f>IF(B99="","",IF(OR(D99="",F99="",G99=""),"Faltan datos",IF(AND(C99&lt;&gt;"",COUNTIF(Pacientes!$A$2:$A$46,C99)=0),"Código no registrado",IF(AND(F99="Sí",G99="Sí"),"Contradicción: resuelta y derivada","OK"))))</f>
        <v/>
      </c>
    </row>
    <row r="100" ht="15" customHeight="1" s="27">
      <c r="A100" s="39">
        <f>IF(B100="","",ROW()-2)</f>
        <v/>
      </c>
      <c r="B100" s="50" t="n">
        <v>46265</v>
      </c>
      <c r="C100" s="40" t="inlineStr">
        <is>
          <t>SIM-25</t>
        </is>
      </c>
      <c r="D100" s="40" t="inlineStr">
        <is>
          <t>Requisitos</t>
        </is>
      </c>
      <c r="E100" s="40" t="inlineStr">
        <is>
          <t>Telefónico</t>
        </is>
      </c>
      <c r="F100" s="40" t="inlineStr">
        <is>
          <t>No</t>
        </is>
      </c>
      <c r="G100" s="40" t="inlineStr">
        <is>
          <t>Sí</t>
        </is>
      </c>
      <c r="H100" s="54" t="n">
        <v>15.8</v>
      </c>
      <c r="I100" s="67">
        <f>IF(B100="","",IF(OR(D100="",F100="",G100=""),"Faltan datos",IF(AND(C100&lt;&gt;"",COUNTIF(Pacientes!$A$2:$A$46,C100)=0),"Código no registrado",IF(AND(F100="Sí",G100="Sí"),"Contradicción: resuelta y derivada","OK"))))</f>
        <v/>
      </c>
    </row>
    <row r="101" ht="15" customHeight="1" s="27">
      <c r="A101" s="39">
        <f>IF(B101="","",ROW()-2)</f>
        <v/>
      </c>
      <c r="B101" s="50" t="n">
        <v>46265</v>
      </c>
      <c r="C101" s="40" t="inlineStr">
        <is>
          <t>SIM-29</t>
        </is>
      </c>
      <c r="D101" s="40" t="inlineStr">
        <is>
          <t>Otro</t>
        </is>
      </c>
      <c r="E101" s="40" t="inlineStr">
        <is>
          <t>Presencial</t>
        </is>
      </c>
      <c r="F101" s="40" t="inlineStr">
        <is>
          <t>No</t>
        </is>
      </c>
      <c r="G101" s="40" t="inlineStr">
        <is>
          <t>Sí</t>
        </is>
      </c>
      <c r="H101" s="54" t="n">
        <v>15.2</v>
      </c>
      <c r="I101" s="67">
        <f>IF(B101="","",IF(OR(D101="",F101="",G101=""),"Faltan datos",IF(AND(C101&lt;&gt;"",COUNTIF(Pacientes!$A$2:$A$46,C101)=0),"Código no registrado",IF(AND(F101="Sí",G101="Sí"),"Contradicción: resuelta y derivada","OK"))))</f>
        <v/>
      </c>
    </row>
    <row r="102" ht="15" customHeight="1" s="27">
      <c r="A102" s="39">
        <f>IF(B102="","",ROW()-2)</f>
        <v/>
      </c>
      <c r="B102" s="50" t="n">
        <v>46265</v>
      </c>
      <c r="C102" s="40" t="inlineStr">
        <is>
          <t>SIM-08</t>
        </is>
      </c>
      <c r="D102" s="40" t="inlineStr">
        <is>
          <t>Ubicación</t>
        </is>
      </c>
      <c r="E102" s="40" t="inlineStr">
        <is>
          <t>Telefónico</t>
        </is>
      </c>
      <c r="F102" s="40" t="inlineStr">
        <is>
          <t>No</t>
        </is>
      </c>
      <c r="G102" s="40" t="inlineStr">
        <is>
          <t>Sí</t>
        </is>
      </c>
      <c r="H102" s="54" t="n">
        <v>5.6</v>
      </c>
      <c r="I102" s="67">
        <f>IF(B102="","",IF(OR(D102="",F102="",G102=""),"Faltan datos",IF(AND(C102&lt;&gt;"",COUNTIF(Pacientes!$A$2:$A$46,C102)=0),"Código no registrado",IF(AND(F102="Sí",G102="Sí"),"Contradicción: resuelta y derivada","OK"))))</f>
        <v/>
      </c>
    </row>
    <row r="103" ht="15" customHeight="1" s="27">
      <c r="A103" s="39">
        <f>IF(B103="","",ROW()-2)</f>
        <v/>
      </c>
      <c r="B103" s="50" t="n">
        <v>46265</v>
      </c>
      <c r="C103" s="40" t="n"/>
      <c r="D103" s="40" t="inlineStr">
        <is>
          <t>Ubicación</t>
        </is>
      </c>
      <c r="E103" s="40" t="inlineStr">
        <is>
          <t>WhatsApp institucional</t>
        </is>
      </c>
      <c r="F103" s="40" t="inlineStr">
        <is>
          <t>Sí</t>
        </is>
      </c>
      <c r="G103" s="40" t="inlineStr">
        <is>
          <t>No</t>
        </is>
      </c>
      <c r="H103" s="54" t="n">
        <v>8.199999999999999</v>
      </c>
      <c r="I103" s="67">
        <f>IF(B103="","",IF(OR(D103="",F103="",G103=""),"Faltan datos",IF(AND(C103&lt;&gt;"",COUNTIF(Pacientes!$A$2:$A$46,C103)=0),"Código no registrado",IF(AND(F103="Sí",G103="Sí"),"Contradicción: resuelta y derivada","OK"))))</f>
        <v/>
      </c>
    </row>
    <row r="104" ht="15" customHeight="1" s="27">
      <c r="A104" s="39">
        <f>IF(B104="","",ROW()-2)</f>
        <v/>
      </c>
      <c r="B104" s="50" t="n">
        <v>46265</v>
      </c>
      <c r="C104" s="40" t="n"/>
      <c r="D104" s="40" t="inlineStr">
        <is>
          <t>Otro</t>
        </is>
      </c>
      <c r="E104" s="40" t="inlineStr">
        <is>
          <t>WhatsApp institucional</t>
        </is>
      </c>
      <c r="F104" s="40" t="inlineStr">
        <is>
          <t>No</t>
        </is>
      </c>
      <c r="G104" s="40" t="inlineStr">
        <is>
          <t>Sí</t>
        </is>
      </c>
      <c r="H104" s="54" t="n">
        <v>17.4</v>
      </c>
      <c r="I104" s="67">
        <f>IF(B104="","",IF(OR(D104="",F104="",G104=""),"Faltan datos",IF(AND(C104&lt;&gt;"",COUNTIF(Pacientes!$A$2:$A$46,C104)=0),"Código no registrado",IF(AND(F104="Sí",G104="Sí"),"Contradicción: resuelta y derivada","OK"))))</f>
        <v/>
      </c>
    </row>
    <row r="105" ht="15" customHeight="1" s="27">
      <c r="A105" s="39">
        <f>IF(B105="","",ROW()-2)</f>
        <v/>
      </c>
      <c r="B105" s="50" t="n">
        <v>46265</v>
      </c>
      <c r="C105" s="40" t="inlineStr">
        <is>
          <t>SIM-18</t>
        </is>
      </c>
      <c r="D105" s="40" t="inlineStr">
        <is>
          <t>Citas</t>
        </is>
      </c>
      <c r="E105" s="40" t="inlineStr">
        <is>
          <t>WhatsApp institucional</t>
        </is>
      </c>
      <c r="F105" s="40" t="inlineStr">
        <is>
          <t>No</t>
        </is>
      </c>
      <c r="G105" s="40" t="inlineStr">
        <is>
          <t>Sí</t>
        </is>
      </c>
      <c r="H105" s="54" t="n">
        <v>9.199999999999999</v>
      </c>
      <c r="I105" s="67">
        <f>IF(B105="","",IF(OR(D105="",F105="",G105=""),"Faltan datos",IF(AND(C105&lt;&gt;"",COUNTIF(Pacientes!$A$2:$A$46,C105)=0),"Código no registrado",IF(AND(F105="Sí",G105="Sí"),"Contradicción: resuelta y derivada","OK"))))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54" t="n"/>
      <c r="I106" s="67">
        <f>IF(B106="","",IF(OR(D106="",F106="",G106=""),"Faltan datos",IF(AND(C106&lt;&gt;"",COUNTIF(Pacientes!$A$2:$A$46,C106)=0),"Código no registrado",IF(AND(F106="Sí",G106="Sí"),"Contradicción: resuelta y derivada","OK"))))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54" t="n"/>
      <c r="I107" s="67">
        <f>IF(B107="","",IF(OR(D107="",F107="",G107=""),"Faltan datos",IF(AND(C107&lt;&gt;"",COUNTIF(Pacientes!$A$2:$A$46,C107)=0),"Código no registrado",IF(AND(F107="Sí",G107="Sí"),"Contradicción: resuelta y derivada","OK"))))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54" t="n"/>
      <c r="I108" s="67">
        <f>IF(B108="","",IF(OR(D108="",F108="",G108=""),"Faltan datos",IF(AND(C108&lt;&gt;"",COUNTIF(Pacientes!$A$2:$A$46,C108)=0),"Código no registrado",IF(AND(F108="Sí",G108="Sí"),"Contradicción: resuelta y derivada","OK"))))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54" t="n"/>
      <c r="I109" s="67">
        <f>IF(B109="","",IF(OR(D109="",F109="",G109=""),"Faltan datos",IF(AND(C109&lt;&gt;"",COUNTIF(Pacientes!$A$2:$A$46,C109)=0),"Código no registrado",IF(AND(F109="Sí",G109="Sí"),"Contradicción: resuelta y derivada","OK"))))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54" t="n"/>
      <c r="I110" s="67">
        <f>IF(B110="","",IF(OR(D110="",F110="",G110=""),"Faltan datos",IF(AND(C110&lt;&gt;"",COUNTIF(Pacientes!$A$2:$A$46,C110)=0),"Código no registrado",IF(AND(F110="Sí",G110="Sí"),"Contradicción: resuelta y derivada","OK"))))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54" t="n"/>
      <c r="I111" s="67">
        <f>IF(B111="","",IF(OR(D111="",F111="",G111=""),"Faltan datos",IF(AND(C111&lt;&gt;"",COUNTIF(Pacientes!$A$2:$A$46,C111)=0),"Código no registrado",IF(AND(F111="Sí",G111="Sí"),"Contradicción: resuelta y derivada","OK"))))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54" t="n"/>
      <c r="I112" s="67">
        <f>IF(B112="","",IF(OR(D112="",F112="",G112=""),"Faltan datos",IF(AND(C112&lt;&gt;"",COUNTIF(Pacientes!$A$2:$A$46,C112)=0),"Código no registrado",IF(AND(F112="Sí",G112="Sí"),"Contradicción: resuelta y derivada","OK"))))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54" t="n"/>
      <c r="I113" s="67">
        <f>IF(B113="","",IF(OR(D113="",F113="",G113=""),"Faltan datos",IF(AND(C113&lt;&gt;"",COUNTIF(Pacientes!$A$2:$A$46,C113)=0),"Código no registrado",IF(AND(F113="Sí",G113="Sí"),"Contradicción: resuelta y derivada","OK"))))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54" t="n"/>
      <c r="I114" s="67">
        <f>IF(B114="","",IF(OR(D114="",F114="",G114=""),"Faltan datos",IF(AND(C114&lt;&gt;"",COUNTIF(Pacientes!$A$2:$A$46,C114)=0),"Código no registrado",IF(AND(F114="Sí",G114="Sí"),"Contradicción: resuelta y derivada","OK"))))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54" t="n"/>
      <c r="I115" s="67">
        <f>IF(B115="","",IF(OR(D115="",F115="",G115=""),"Faltan datos",IF(AND(C115&lt;&gt;"",COUNTIF(Pacientes!$A$2:$A$46,C115)=0),"Código no registrado",IF(AND(F115="Sí",G115="Sí"),"Contradicción: resuelta y derivada","OK"))))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54" t="n"/>
      <c r="I116" s="67">
        <f>IF(B116="","",IF(OR(D116="",F116="",G116=""),"Faltan datos",IF(AND(C116&lt;&gt;"",COUNTIF(Pacientes!$A$2:$A$46,C116)=0),"Código no registrado",IF(AND(F116="Sí",G116="Sí"),"Contradicción: resuelta y derivada","OK"))))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54" t="n"/>
      <c r="I117" s="67">
        <f>IF(B117="","",IF(OR(D117="",F117="",G117=""),"Faltan datos",IF(AND(C117&lt;&gt;"",COUNTIF(Pacientes!$A$2:$A$46,C117)=0),"Código no registrado",IF(AND(F117="Sí",G117="Sí"),"Contradicción: resuelta y derivada","OK"))))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54" t="n"/>
      <c r="I118" s="67">
        <f>IF(B118="","",IF(OR(D118="",F118="",G118=""),"Faltan datos",IF(AND(C118&lt;&gt;"",COUNTIF(Pacientes!$A$2:$A$46,C118)=0),"Código no registrado",IF(AND(F118="Sí",G118="Sí"),"Contradicción: resuelta y derivada","OK"))))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54" t="n"/>
      <c r="I119" s="67">
        <f>IF(B119="","",IF(OR(D119="",F119="",G119=""),"Faltan datos",IF(AND(C119&lt;&gt;"",COUNTIF(Pacientes!$A$2:$A$46,C119)=0),"Código no registrado",IF(AND(F119="Sí",G119="Sí"),"Contradicción: resuelta y derivada","OK"))))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54" t="n"/>
      <c r="I120" s="67">
        <f>IF(B120="","",IF(OR(D120="",F120="",G120=""),"Faltan datos",IF(AND(C120&lt;&gt;"",COUNTIF(Pacientes!$A$2:$A$46,C120)=0),"Código no registrado",IF(AND(F120="Sí",G120="Sí"),"Contradicción: resuelta y derivada","OK"))))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54" t="n"/>
      <c r="I121" s="67">
        <f>IF(B121="","",IF(OR(D121="",F121="",G121=""),"Faltan datos",IF(AND(C121&lt;&gt;"",COUNTIF(Pacientes!$A$2:$A$46,C121)=0),"Código no registrado",IF(AND(F121="Sí",G121="Sí"),"Contradicción: resuelta y derivada","OK"))))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54" t="n"/>
      <c r="I122" s="67">
        <f>IF(B122="","",IF(OR(D122="",F122="",G122=""),"Faltan datos",IF(AND(C122&lt;&gt;"",COUNTIF(Pacientes!$A$2:$A$46,C122)=0),"Código no registrado",IF(AND(F122="Sí",G122="Sí"),"Contradicción: resuelta y derivada","OK"))))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54" t="n"/>
      <c r="I123" s="67">
        <f>IF(B123="","",IF(OR(D123="",F123="",G123=""),"Faltan datos",IF(AND(C123&lt;&gt;"",COUNTIF(Pacientes!$A$2:$A$46,C123)=0),"Código no registrado",IF(AND(F123="Sí",G123="Sí"),"Contradicción: resuelta y derivada","OK"))))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54" t="n"/>
      <c r="I124" s="67">
        <f>IF(B124="","",IF(OR(D124="",F124="",G124=""),"Faltan datos",IF(AND(C124&lt;&gt;"",COUNTIF(Pacientes!$A$2:$A$46,C124)=0),"Código no registrado",IF(AND(F124="Sí",G124="Sí"),"Contradicción: resuelta y derivada","OK"))))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54" t="n"/>
      <c r="I125" s="67">
        <f>IF(B125="","",IF(OR(D125="",F125="",G125=""),"Faltan datos",IF(AND(C125&lt;&gt;"",COUNTIF(Pacientes!$A$2:$A$46,C125)=0),"Código no registrado",IF(AND(F125="Sí",G125="Sí"),"Contradicción: resuelta y derivada","OK"))))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54" t="n"/>
      <c r="I126" s="67">
        <f>IF(B126="","",IF(OR(D126="",F126="",G126=""),"Faltan datos",IF(AND(C126&lt;&gt;"",COUNTIF(Pacientes!$A$2:$A$46,C126)=0),"Código no registrado",IF(AND(F126="Sí",G126="Sí"),"Contradicción: resuelta y derivada","OK"))))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54" t="n"/>
      <c r="I127" s="67">
        <f>IF(B127="","",IF(OR(D127="",F127="",G127=""),"Faltan datos",IF(AND(C127&lt;&gt;"",COUNTIF(Pacientes!$A$2:$A$46,C127)=0),"Código no registrado",IF(AND(F127="Sí",G127="Sí"),"Contradicción: resuelta y derivada","OK"))))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54" t="n"/>
      <c r="I128" s="67">
        <f>IF(B128="","",IF(OR(D128="",F128="",G128=""),"Faltan datos",IF(AND(C128&lt;&gt;"",COUNTIF(Pacientes!$A$2:$A$46,C128)=0),"Código no registrado",IF(AND(F128="Sí",G128="Sí"),"Contradicción: resuelta y derivada","OK"))))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54" t="n"/>
      <c r="I129" s="67">
        <f>IF(B129="","",IF(OR(D129="",F129="",G129=""),"Faltan datos",IF(AND(C129&lt;&gt;"",COUNTIF(Pacientes!$A$2:$A$46,C129)=0),"Código no registrado",IF(AND(F129="Sí",G129="Sí"),"Contradicción: resuelta y derivada","OK"))))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54" t="n"/>
      <c r="I130" s="67">
        <f>IF(B130="","",IF(OR(D130="",F130="",G130=""),"Faltan datos",IF(AND(C130&lt;&gt;"",COUNTIF(Pacientes!$A$2:$A$46,C130)=0),"Código no registrado",IF(AND(F130="Sí",G130="Sí"),"Contradicción: resuelta y derivada","OK"))))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54" t="n"/>
      <c r="I131" s="67">
        <f>IF(B131="","",IF(OR(D131="",F131="",G131=""),"Faltan datos",IF(AND(C131&lt;&gt;"",COUNTIF(Pacientes!$A$2:$A$46,C131)=0),"Código no registrado",IF(AND(F131="Sí",G131="Sí"),"Contradicción: resuelta y derivada","OK"))))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54" t="n"/>
      <c r="I132" s="67">
        <f>IF(B132="","",IF(OR(D132="",F132="",G132=""),"Faltan datos",IF(AND(C132&lt;&gt;"",COUNTIF(Pacientes!$A$2:$A$46,C132)=0),"Código no registrado",IF(AND(F132="Sí",G132="Sí"),"Contradicción: resuelta y derivada","OK"))))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54" t="n"/>
      <c r="I133" s="67">
        <f>IF(B133="","",IF(OR(D133="",F133="",G133=""),"Faltan datos",IF(AND(C133&lt;&gt;"",COUNTIF(Pacientes!$A$2:$A$46,C133)=0),"Código no registrado",IF(AND(F133="Sí",G133="Sí"),"Contradicción: resuelta y derivada","OK"))))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54" t="n"/>
      <c r="I134" s="67">
        <f>IF(B134="","",IF(OR(D134="",F134="",G134=""),"Faltan datos",IF(AND(C134&lt;&gt;"",COUNTIF(Pacientes!$A$2:$A$46,C134)=0),"Código no registrado",IF(AND(F134="Sí",G134="Sí"),"Contradicción: resuelta y derivada","OK"))))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54" t="n"/>
      <c r="I135" s="67">
        <f>IF(B135="","",IF(OR(D135="",F135="",G135=""),"Faltan datos",IF(AND(C135&lt;&gt;"",COUNTIF(Pacientes!$A$2:$A$46,C135)=0),"Código no registrado",IF(AND(F135="Sí",G135="Sí"),"Contradicción: resuelta y derivada","OK"))))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54" t="n"/>
      <c r="I136" s="67">
        <f>IF(B136="","",IF(OR(D136="",F136="",G136=""),"Faltan datos",IF(AND(C136&lt;&gt;"",COUNTIF(Pacientes!$A$2:$A$46,C136)=0),"Código no registrado",IF(AND(F136="Sí",G136="Sí"),"Contradicción: resuelta y derivada","OK"))))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54" t="n"/>
      <c r="I137" s="67">
        <f>IF(B137="","",IF(OR(D137="",F137="",G137=""),"Faltan datos",IF(AND(C137&lt;&gt;"",COUNTIF(Pacientes!$A$2:$A$46,C137)=0),"Código no registrado",IF(AND(F137="Sí",G137="Sí"),"Contradicción: resuelta y derivada","OK"))))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54" t="n"/>
      <c r="I138" s="67">
        <f>IF(B138="","",IF(OR(D138="",F138="",G138=""),"Faltan datos",IF(AND(C138&lt;&gt;"",COUNTIF(Pacientes!$A$2:$A$46,C138)=0),"Código no registrado",IF(AND(F138="Sí",G138="Sí"),"Contradicción: resuelta y derivada","OK"))))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54" t="n"/>
      <c r="I139" s="67">
        <f>IF(B139="","",IF(OR(D139="",F139="",G139=""),"Faltan datos",IF(AND(C139&lt;&gt;"",COUNTIF(Pacientes!$A$2:$A$46,C139)=0),"Código no registrado",IF(AND(F139="Sí",G139="Sí"),"Contradicción: resuelta y derivada","OK"))))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54" t="n"/>
      <c r="I140" s="67">
        <f>IF(B140="","",IF(OR(D140="",F140="",G140=""),"Faltan datos",IF(AND(C140&lt;&gt;"",COUNTIF(Pacientes!$A$2:$A$46,C140)=0),"Código no registrado",IF(AND(F140="Sí",G140="Sí"),"Contradicción: resuelta y derivada","OK"))))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54" t="n"/>
      <c r="I141" s="67">
        <f>IF(B141="","",IF(OR(D141="",F141="",G141=""),"Faltan datos",IF(AND(C141&lt;&gt;"",COUNTIF(Pacientes!$A$2:$A$46,C141)=0),"Código no registrado",IF(AND(F141="Sí",G141="Sí"),"Contradicción: resuelta y derivada","OK"))))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54" t="n"/>
      <c r="I142" s="67">
        <f>IF(B142="","",IF(OR(D142="",F142="",G142=""),"Faltan datos",IF(AND(C142&lt;&gt;"",COUNTIF(Pacientes!$A$2:$A$46,C142)=0),"Código no registrado",IF(AND(F142="Sí",G142="Sí"),"Contradicción: resuelta y derivada","OK"))))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54" t="n"/>
      <c r="I143" s="67">
        <f>IF(B143="","",IF(OR(D143="",F143="",G143=""),"Faltan datos",IF(AND(C143&lt;&gt;"",COUNTIF(Pacientes!$A$2:$A$46,C143)=0),"Código no registrado",IF(AND(F143="Sí",G143="Sí"),"Contradicción: resuelta y derivada","OK"))))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54" t="n"/>
      <c r="I144" s="67">
        <f>IF(B144="","",IF(OR(D144="",F144="",G144=""),"Faltan datos",IF(AND(C144&lt;&gt;"",COUNTIF(Pacientes!$A$2:$A$46,C144)=0),"Código no registrado",IF(AND(F144="Sí",G144="Sí"),"Contradicción: resuelta y derivada","OK"))))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54" t="n"/>
      <c r="I145" s="67">
        <f>IF(B145="","",IF(OR(D145="",F145="",G145=""),"Faltan datos",IF(AND(C145&lt;&gt;"",COUNTIF(Pacientes!$A$2:$A$46,C145)=0),"Código no registrado",IF(AND(F145="Sí",G145="Sí"),"Contradicción: resuelta y derivada","OK"))))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54" t="n"/>
      <c r="I146" s="67">
        <f>IF(B146="","",IF(OR(D146="",F146="",G146=""),"Faltan datos",IF(AND(C146&lt;&gt;"",COUNTIF(Pacientes!$A$2:$A$46,C146)=0),"Código no registrado",IF(AND(F146="Sí",G146="Sí"),"Contradicción: resuelta y derivada","OK"))))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54" t="n"/>
      <c r="I147" s="67">
        <f>IF(B147="","",IF(OR(D147="",F147="",G147=""),"Faltan datos",IF(AND(C147&lt;&gt;"",COUNTIF(Pacientes!$A$2:$A$46,C147)=0),"Código no registrado",IF(AND(F147="Sí",G147="Sí"),"Contradicción: resuelta y derivada","OK"))))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54" t="n"/>
      <c r="I148" s="67">
        <f>IF(B148="","",IF(OR(D148="",F148="",G148=""),"Faltan datos",IF(AND(C148&lt;&gt;"",COUNTIF(Pacientes!$A$2:$A$46,C148)=0),"Código no registrado",IF(AND(F148="Sí",G148="Sí"),"Contradicción: resuelta y derivada","OK"))))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54" t="n"/>
      <c r="I149" s="67">
        <f>IF(B149="","",IF(OR(D149="",F149="",G149=""),"Faltan datos",IF(AND(C149&lt;&gt;"",COUNTIF(Pacientes!$A$2:$A$46,C149)=0),"Código no registrado",IF(AND(F149="Sí",G149="Sí"),"Contradicción: resuelta y derivada","OK"))))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54" t="n"/>
      <c r="I150" s="67">
        <f>IF(B150="","",IF(OR(D150="",F150="",G150=""),"Faltan datos",IF(AND(C150&lt;&gt;"",COUNTIF(Pacientes!$A$2:$A$46,C150)=0),"Código no registrado",IF(AND(F150="Sí",G150="Sí"),"Contradicción: resuelta y derivada","OK"))))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54" t="n"/>
      <c r="I151" s="67">
        <f>IF(B151="","",IF(OR(D151="",F151="",G151=""),"Faltan datos",IF(AND(C151&lt;&gt;"",COUNTIF(Pacientes!$A$2:$A$46,C151)=0),"Código no registrado",IF(AND(F151="Sí",G151="Sí"),"Contradicción: resuelta y derivada","OK"))))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54" t="n"/>
      <c r="I152" s="67">
        <f>IF(B152="","",IF(OR(D152="",F152="",G152=""),"Faltan datos",IF(AND(C152&lt;&gt;"",COUNTIF(Pacientes!$A$2:$A$46,C152)=0),"Código no registrado",IF(AND(F152="Sí",G152="Sí"),"Contradicción: resuelta y derivada","OK"))))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54" t="n"/>
      <c r="I153" s="67">
        <f>IF(B153="","",IF(OR(D153="",F153="",G153=""),"Faltan datos",IF(AND(C153&lt;&gt;"",COUNTIF(Pacientes!$A$2:$A$46,C153)=0),"Código no registrado",IF(AND(F153="Sí",G153="Sí"),"Contradicción: resuelta y derivada","OK"))))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54" t="n"/>
      <c r="I154" s="67">
        <f>IF(B154="","",IF(OR(D154="",F154="",G154=""),"Faltan datos",IF(AND(C154&lt;&gt;"",COUNTIF(Pacientes!$A$2:$A$46,C154)=0),"Código no registrado",IF(AND(F154="Sí",G154="Sí"),"Contradicción: resuelta y derivada","OK"))))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54" t="n"/>
      <c r="I155" s="67">
        <f>IF(B155="","",IF(OR(D155="",F155="",G155=""),"Faltan datos",IF(AND(C155&lt;&gt;"",COUNTIF(Pacientes!$A$2:$A$46,C155)=0),"Código no registrado",IF(AND(F155="Sí",G155="Sí"),"Contradicción: resuelta y derivada","OK"))))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54" t="n"/>
      <c r="I156" s="67">
        <f>IF(B156="","",IF(OR(D156="",F156="",G156=""),"Faltan datos",IF(AND(C156&lt;&gt;"",COUNTIF(Pacientes!$A$2:$A$46,C156)=0),"Código no registrado",IF(AND(F156="Sí",G156="Sí"),"Contradicción: resuelta y derivada","OK"))))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54" t="n"/>
      <c r="I157" s="67">
        <f>IF(B157="","",IF(OR(D157="",F157="",G157=""),"Faltan datos",IF(AND(C157&lt;&gt;"",COUNTIF(Pacientes!$A$2:$A$46,C157)=0),"Código no registrado",IF(AND(F157="Sí",G157="Sí"),"Contradicción: resuelta y derivada","OK"))))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54" t="n"/>
      <c r="I158" s="67">
        <f>IF(B158="","",IF(OR(D158="",F158="",G158=""),"Faltan datos",IF(AND(C158&lt;&gt;"",COUNTIF(Pacientes!$A$2:$A$46,C158)=0),"Código no registrado",IF(AND(F158="Sí",G158="Sí"),"Contradicción: resuelta y derivada","OK"))))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54" t="n"/>
      <c r="I159" s="67">
        <f>IF(B159="","",IF(OR(D159="",F159="",G159=""),"Faltan datos",IF(AND(C159&lt;&gt;"",COUNTIF(Pacientes!$A$2:$A$46,C159)=0),"Código no registrado",IF(AND(F159="Sí",G159="Sí"),"Contradicción: resuelta y derivada","OK"))))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54" t="n"/>
      <c r="I160" s="67">
        <f>IF(B160="","",IF(OR(D160="",F160="",G160=""),"Faltan datos",IF(AND(C160&lt;&gt;"",COUNTIF(Pacientes!$A$2:$A$46,C160)=0),"Código no registrado",IF(AND(F160="Sí",G160="Sí"),"Contradicción: resuelta y derivada","OK"))))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54" t="n"/>
      <c r="I161" s="67">
        <f>IF(B161="","",IF(OR(D161="",F161="",G161=""),"Faltan datos",IF(AND(C161&lt;&gt;"",COUNTIF(Pacientes!$A$2:$A$46,C161)=0),"Código no registrado",IF(AND(F161="Sí",G161="Sí"),"Contradicción: resuelta y derivada","OK"))))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54" t="n"/>
      <c r="I162" s="67">
        <f>IF(B162="","",IF(OR(D162="",F162="",G162=""),"Faltan datos",IF(AND(C162&lt;&gt;"",COUNTIF(Pacientes!$A$2:$A$46,C162)=0),"Código no registrado",IF(AND(F162="Sí",G162="Sí"),"Contradicción: resuelta y derivada","OK"))))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54" t="n"/>
      <c r="I163" s="67">
        <f>IF(B163="","",IF(OR(D163="",F163="",G163=""),"Faltan datos",IF(AND(C163&lt;&gt;"",COUNTIF(Pacientes!$A$2:$A$46,C163)=0),"Código no registrado",IF(AND(F163="Sí",G163="Sí"),"Contradicción: resuelta y derivada","OK"))))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54" t="n"/>
      <c r="I164" s="67">
        <f>IF(B164="","",IF(OR(D164="",F164="",G164=""),"Faltan datos",IF(AND(C164&lt;&gt;"",COUNTIF(Pacientes!$A$2:$A$46,C164)=0),"Código no registrado",IF(AND(F164="Sí",G164="Sí"),"Contradicción: resuelta y derivada","OK"))))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54" t="n"/>
      <c r="I165" s="67">
        <f>IF(B165="","",IF(OR(D165="",F165="",G165=""),"Faltan datos",IF(AND(C165&lt;&gt;"",COUNTIF(Pacientes!$A$2:$A$46,C165)=0),"Código no registrado",IF(AND(F165="Sí",G165="Sí"),"Contradicción: resuelta y derivada","OK"))))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54" t="n"/>
      <c r="I166" s="67">
        <f>IF(B166="","",IF(OR(D166="",F166="",G166=""),"Faltan datos",IF(AND(C166&lt;&gt;"",COUNTIF(Pacientes!$A$2:$A$46,C166)=0),"Código no registrado",IF(AND(F166="Sí",G166="Sí"),"Contradicción: resuelta y derivada","OK"))))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54" t="n"/>
      <c r="I167" s="67">
        <f>IF(B167="","",IF(OR(D167="",F167="",G167=""),"Faltan datos",IF(AND(C167&lt;&gt;"",COUNTIF(Pacientes!$A$2:$A$46,C167)=0),"Código no registrado",IF(AND(F167="Sí",G167="Sí"),"Contradicción: resuelta y derivada","OK"))))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54" t="n"/>
      <c r="I168" s="67">
        <f>IF(B168="","",IF(OR(D168="",F168="",G168=""),"Faltan datos",IF(AND(C168&lt;&gt;"",COUNTIF(Pacientes!$A$2:$A$46,C168)=0),"Código no registrado",IF(AND(F168="Sí",G168="Sí"),"Contradicción: resuelta y derivada","OK"))))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54" t="n"/>
      <c r="I169" s="67">
        <f>IF(B169="","",IF(OR(D169="",F169="",G169=""),"Faltan datos",IF(AND(C169&lt;&gt;"",COUNTIF(Pacientes!$A$2:$A$46,C169)=0),"Código no registrado",IF(AND(F169="Sí",G169="Sí"),"Contradicción: resuelta y derivada","OK"))))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54" t="n"/>
      <c r="I170" s="67">
        <f>IF(B170="","",IF(OR(D170="",F170="",G170=""),"Faltan datos",IF(AND(C170&lt;&gt;"",COUNTIF(Pacientes!$A$2:$A$46,C170)=0),"Código no registrado",IF(AND(F170="Sí",G170="Sí"),"Contradicción: resuelta y derivada","OK"))))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54" t="n"/>
      <c r="I171" s="67">
        <f>IF(B171="","",IF(OR(D171="",F171="",G171=""),"Faltan datos",IF(AND(C171&lt;&gt;"",COUNTIF(Pacientes!$A$2:$A$46,C171)=0),"Código no registrado",IF(AND(F171="Sí",G171="Sí"),"Contradicción: resuelta y derivada","OK"))))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54" t="n"/>
      <c r="I172" s="67">
        <f>IF(B172="","",IF(OR(D172="",F172="",G172=""),"Faltan datos",IF(AND(C172&lt;&gt;"",COUNTIF(Pacientes!$A$2:$A$46,C172)=0),"Código no registrado",IF(AND(F172="Sí",G172="Sí"),"Contradicción: resuelta y derivada","OK"))))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54" t="n"/>
      <c r="I173" s="67">
        <f>IF(B173="","",IF(OR(D173="",F173="",G173=""),"Faltan datos",IF(AND(C173&lt;&gt;"",COUNTIF(Pacientes!$A$2:$A$46,C173)=0),"Código no registrado",IF(AND(F173="Sí",G173="Sí"),"Contradicción: resuelta y derivada","OK"))))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54" t="n"/>
      <c r="I174" s="67">
        <f>IF(B174="","",IF(OR(D174="",F174="",G174=""),"Faltan datos",IF(AND(C174&lt;&gt;"",COUNTIF(Pacientes!$A$2:$A$46,C174)=0),"Código no registrado",IF(AND(F174="Sí",G174="Sí"),"Contradicción: resuelta y derivada","OK"))))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54" t="n"/>
      <c r="I175" s="67">
        <f>IF(B175="","",IF(OR(D175="",F175="",G175=""),"Faltan datos",IF(AND(C175&lt;&gt;"",COUNTIF(Pacientes!$A$2:$A$46,C175)=0),"Código no registrado",IF(AND(F175="Sí",G175="Sí"),"Contradicción: resuelta y derivada","OK"))))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54" t="n"/>
      <c r="I176" s="67">
        <f>IF(B176="","",IF(OR(D176="",F176="",G176=""),"Faltan datos",IF(AND(C176&lt;&gt;"",COUNTIF(Pacientes!$A$2:$A$46,C176)=0),"Código no registrado",IF(AND(F176="Sí",G176="Sí"),"Contradicción: resuelta y derivada","OK"))))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54" t="n"/>
      <c r="I177" s="67">
        <f>IF(B177="","",IF(OR(D177="",F177="",G177=""),"Faltan datos",IF(AND(C177&lt;&gt;"",COUNTIF(Pacientes!$A$2:$A$46,C177)=0),"Código no registrado",IF(AND(F177="Sí",G177="Sí"),"Contradicción: resuelta y derivada","OK"))))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54" t="n"/>
      <c r="I178" s="67">
        <f>IF(B178="","",IF(OR(D178="",F178="",G178=""),"Faltan datos",IF(AND(C178&lt;&gt;"",COUNTIF(Pacientes!$A$2:$A$46,C178)=0),"Código no registrado",IF(AND(F178="Sí",G178="Sí"),"Contradicción: resuelta y derivada","OK"))))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54" t="n"/>
      <c r="I179" s="67">
        <f>IF(B179="","",IF(OR(D179="",F179="",G179=""),"Faltan datos",IF(AND(C179&lt;&gt;"",COUNTIF(Pacientes!$A$2:$A$46,C179)=0),"Código no registrado",IF(AND(F179="Sí",G179="Sí"),"Contradicción: resuelta y derivada","OK"))))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54" t="n"/>
      <c r="I180" s="67">
        <f>IF(B180="","",IF(OR(D180="",F180="",G180=""),"Faltan datos",IF(AND(C180&lt;&gt;"",COUNTIF(Pacientes!$A$2:$A$46,C180)=0),"Código no registrado",IF(AND(F180="Sí",G180="Sí"),"Contradicción: resuelta y derivada","OK"))))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54" t="n"/>
      <c r="I181" s="67">
        <f>IF(B181="","",IF(OR(D181="",F181="",G181=""),"Faltan datos",IF(AND(C181&lt;&gt;"",COUNTIF(Pacientes!$A$2:$A$46,C181)=0),"Código no registrado",IF(AND(F181="Sí",G181="Sí"),"Contradicción: resuelta y derivada","OK"))))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54" t="n"/>
      <c r="I182" s="67">
        <f>IF(B182="","",IF(OR(D182="",F182="",G182=""),"Faltan datos",IF(AND(C182&lt;&gt;"",COUNTIF(Pacientes!$A$2:$A$46,C182)=0),"Código no registrado",IF(AND(F182="Sí",G182="Sí"),"Contradicción: resuelta y derivada","OK"))))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54" t="n"/>
      <c r="I183" s="67">
        <f>IF(B183="","",IF(OR(D183="",F183="",G183=""),"Faltan datos",IF(AND(C183&lt;&gt;"",COUNTIF(Pacientes!$A$2:$A$46,C183)=0),"Código no registrado",IF(AND(F183="Sí",G183="Sí"),"Contradicción: resuelta y derivada","OK"))))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54" t="n"/>
      <c r="I184" s="67">
        <f>IF(B184="","",IF(OR(D184="",F184="",G184=""),"Faltan datos",IF(AND(C184&lt;&gt;"",COUNTIF(Pacientes!$A$2:$A$46,C184)=0),"Código no registrado",IF(AND(F184="Sí",G184="Sí"),"Contradicción: resuelta y derivada","OK"))))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54" t="n"/>
      <c r="I185" s="67">
        <f>IF(B185="","",IF(OR(D185="",F185="",G185=""),"Faltan datos",IF(AND(C185&lt;&gt;"",COUNTIF(Pacientes!$A$2:$A$46,C185)=0),"Código no registrado",IF(AND(F185="Sí",G185="Sí"),"Contradicción: resuelta y derivada","OK"))))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54" t="n"/>
      <c r="I186" s="67">
        <f>IF(B186="","",IF(OR(D186="",F186="",G186=""),"Faltan datos",IF(AND(C186&lt;&gt;"",COUNTIF(Pacientes!$A$2:$A$46,C186)=0),"Código no registrado",IF(AND(F186="Sí",G186="Sí"),"Contradicción: resuelta y derivada","OK"))))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54" t="n"/>
      <c r="I187" s="67">
        <f>IF(B187="","",IF(OR(D187="",F187="",G187=""),"Faltan datos",IF(AND(C187&lt;&gt;"",COUNTIF(Pacientes!$A$2:$A$46,C187)=0),"Código no registrado",IF(AND(F187="Sí",G187="Sí"),"Contradicción: resuelta y derivada","OK"))))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54" t="n"/>
      <c r="I188" s="67">
        <f>IF(B188="","",IF(OR(D188="",F188="",G188=""),"Faltan datos",IF(AND(C188&lt;&gt;"",COUNTIF(Pacientes!$A$2:$A$46,C188)=0),"Código no registrado",IF(AND(F188="Sí",G188="Sí"),"Contradicción: resuelta y derivada","OK"))))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54" t="n"/>
      <c r="I189" s="67">
        <f>IF(B189="","",IF(OR(D189="",F189="",G189=""),"Faltan datos",IF(AND(C189&lt;&gt;"",COUNTIF(Pacientes!$A$2:$A$46,C189)=0),"Código no registrado",IF(AND(F189="Sí",G189="Sí"),"Contradicción: resuelta y derivada","OK"))))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54" t="n"/>
      <c r="I190" s="67">
        <f>IF(B190="","",IF(OR(D190="",F190="",G190=""),"Faltan datos",IF(AND(C190&lt;&gt;"",COUNTIF(Pacientes!$A$2:$A$46,C190)=0),"Código no registrado",IF(AND(F190="Sí",G190="Sí"),"Contradicción: resuelta y derivada","OK"))))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54" t="n"/>
      <c r="I191" s="67">
        <f>IF(B191="","",IF(OR(D191="",F191="",G191=""),"Faltan datos",IF(AND(C191&lt;&gt;"",COUNTIF(Pacientes!$A$2:$A$46,C191)=0),"Código no registrado",IF(AND(F191="Sí",G191="Sí"),"Contradicción: resuelta y derivada","OK"))))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54" t="n"/>
      <c r="I192" s="67">
        <f>IF(B192="","",IF(OR(D192="",F192="",G192=""),"Faltan datos",IF(AND(C192&lt;&gt;"",COUNTIF(Pacientes!$A$2:$A$46,C192)=0),"Código no registrado",IF(AND(F192="Sí",G192="Sí"),"Contradicción: resuelta y derivada","OK"))))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54" t="n"/>
      <c r="I193" s="67">
        <f>IF(B193="","",IF(OR(D193="",F193="",G193=""),"Faltan datos",IF(AND(C193&lt;&gt;"",COUNTIF(Pacientes!$A$2:$A$46,C193)=0),"Código no registrado",IF(AND(F193="Sí",G193="Sí"),"Contradicción: resuelta y derivada","OK"))))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54" t="n"/>
      <c r="I194" s="67">
        <f>IF(B194="","",IF(OR(D194="",F194="",G194=""),"Faltan datos",IF(AND(C194&lt;&gt;"",COUNTIF(Pacientes!$A$2:$A$46,C194)=0),"Código no registrado",IF(AND(F194="Sí",G194="Sí"),"Contradicción: resuelta y derivada","OK"))))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54" t="n"/>
      <c r="I195" s="67">
        <f>IF(B195="","",IF(OR(D195="",F195="",G195=""),"Faltan datos",IF(AND(C195&lt;&gt;"",COUNTIF(Pacientes!$A$2:$A$46,C195)=0),"Código no registrado",IF(AND(F195="Sí",G195="Sí"),"Contradicción: resuelta y derivada","OK"))))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54" t="n"/>
      <c r="I196" s="67">
        <f>IF(B196="","",IF(OR(D196="",F196="",G196=""),"Faltan datos",IF(AND(C196&lt;&gt;"",COUNTIF(Pacientes!$A$2:$A$46,C196)=0),"Código no registrado",IF(AND(F196="Sí",G196="Sí"),"Contradicción: resuelta y derivada","OK"))))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54" t="n"/>
      <c r="I197" s="67">
        <f>IF(B197="","",IF(OR(D197="",F197="",G197=""),"Faltan datos",IF(AND(C197&lt;&gt;"",COUNTIF(Pacientes!$A$2:$A$46,C197)=0),"Código no registrado",IF(AND(F197="Sí",G197="Sí"),"Contradicción: resuelta y derivada","OK"))))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54" t="n"/>
      <c r="I198" s="67">
        <f>IF(B198="","",IF(OR(D198="",F198="",G198=""),"Faltan datos",IF(AND(C198&lt;&gt;"",COUNTIF(Pacientes!$A$2:$A$46,C198)=0),"Código no registrado",IF(AND(F198="Sí",G198="Sí"),"Contradicción: resuelta y derivada","OK"))))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54" t="n"/>
      <c r="I199" s="67">
        <f>IF(B199="","",IF(OR(D199="",F199="",G199=""),"Faltan datos",IF(AND(C199&lt;&gt;"",COUNTIF(Pacientes!$A$2:$A$46,C199)=0),"Código no registrado",IF(AND(F199="Sí",G199="Sí"),"Contradicción: resuelta y derivada","OK"))))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54" t="n"/>
      <c r="I200" s="67">
        <f>IF(B200="","",IF(OR(D200="",F200="",G200=""),"Faltan datos",IF(AND(C200&lt;&gt;"",COUNTIF(Pacientes!$A$2:$A$46,C200)=0),"Código no registrado",IF(AND(F200="Sí",G200="Sí"),"Contradicción: resuelta y derivada","OK"))))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54" t="n"/>
      <c r="I201" s="67">
        <f>IF(B201="","",IF(OR(D201="",F201="",G201=""),"Faltan datos",IF(AND(C201&lt;&gt;"",COUNTIF(Pacientes!$A$2:$A$46,C201)=0),"Código no registrado",IF(AND(F201="Sí",G201="Sí"),"Contradicción: resuelta y derivada","OK"))))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54" t="n"/>
      <c r="I202" s="67">
        <f>IF(B202="","",IF(OR(D202="",F202="",G202=""),"Faltan datos",IF(AND(C202&lt;&gt;"",COUNTIF(Pacientes!$A$2:$A$46,C202)=0),"Código no registrado",IF(AND(F202="Sí",G202="Sí"),"Contradicción: resuelta y derivada","OK"))))</f>
        <v/>
      </c>
    </row>
  </sheetData>
  <conditionalFormatting sqref="I3:I202">
    <cfRule type="expression" priority="1" dxfId="0">
      <formula>AND(I3&lt;&gt;"",I3&lt;&gt;"OK")</formula>
    </cfRule>
  </conditionalFormatting>
  <dataValidations count="5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E3:E202" showDropDown="0" showInputMessage="0" showErrorMessage="0" allowBlank="1" type="list" errorStyle="stop" operator="between">
      <formula1>Listas!$F$2:$F$4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  <col width="26" customWidth="1" style="27" min="9" max="9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  <c r="I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Chatbot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>
        <v>46267</v>
      </c>
      <c r="C3" s="40" t="inlineStr">
        <is>
          <t>SIM-06</t>
        </is>
      </c>
      <c r="D3" s="40" t="inlineStr">
        <is>
          <t>Horarios</t>
        </is>
      </c>
      <c r="E3" s="53" t="inlineStr">
        <is>
          <t>Chatbot</t>
        </is>
      </c>
      <c r="F3" s="40" t="inlineStr">
        <is>
          <t>Sí</t>
        </is>
      </c>
      <c r="G3" s="40" t="inlineStr">
        <is>
          <t>No</t>
        </is>
      </c>
      <c r="H3" s="54" t="n">
        <v>1.7</v>
      </c>
      <c r="I3" s="67">
        <f>IF(B3="","",IF(OR(D3="",F3="",G3=""),"Faltan datos",IF(AND(C3&lt;&gt;"",COUNTIF(Pacientes!$A$2:$A$46,C3)=0),"Código no registrado",IF(AND(F3="Sí",G3="Sí"),"Contradicción: resuelta y derivada","OK"))))</f>
        <v/>
      </c>
    </row>
    <row r="4" ht="15" customHeight="1" s="27">
      <c r="A4" s="39">
        <f>IF(B4="","",ROW()-2)</f>
        <v/>
      </c>
      <c r="B4" s="50" t="n">
        <v>46267</v>
      </c>
      <c r="C4" s="40" t="inlineStr">
        <is>
          <t>SIM-22</t>
        </is>
      </c>
      <c r="D4" s="40" t="inlineStr">
        <is>
          <t>Ubicación</t>
        </is>
      </c>
      <c r="E4" s="53" t="inlineStr">
        <is>
          <t>Chatbot</t>
        </is>
      </c>
      <c r="F4" s="40" t="inlineStr">
        <is>
          <t>Sí</t>
        </is>
      </c>
      <c r="G4" s="40" t="inlineStr">
        <is>
          <t>No</t>
        </is>
      </c>
      <c r="H4" s="54" t="n">
        <v>0.5</v>
      </c>
      <c r="I4" s="67">
        <f>IF(B4="","",IF(OR(D4="",F4="",G4=""),"Faltan datos",IF(AND(C4&lt;&gt;"",COUNTIF(Pacientes!$A$2:$A$46,C4)=0),"Código no registrado",IF(AND(F4="Sí",G4="Sí"),"Contradicción: resuelta y derivada","OK"))))</f>
        <v/>
      </c>
    </row>
    <row r="5" ht="15" customHeight="1" s="27">
      <c r="A5" s="39">
        <f>IF(B5="","",ROW()-2)</f>
        <v/>
      </c>
      <c r="B5" s="50" t="n">
        <v>46267</v>
      </c>
      <c r="C5" s="40" t="inlineStr">
        <is>
          <t>SIM-28</t>
        </is>
      </c>
      <c r="D5" s="40" t="inlineStr">
        <is>
          <t>Otro</t>
        </is>
      </c>
      <c r="E5" s="53" t="inlineStr">
        <is>
          <t>Chatbot</t>
        </is>
      </c>
      <c r="F5" s="40" t="inlineStr">
        <is>
          <t>Sí</t>
        </is>
      </c>
      <c r="G5" s="40" t="inlineStr">
        <is>
          <t>No</t>
        </is>
      </c>
      <c r="H5" s="54" t="n">
        <v>0.3</v>
      </c>
      <c r="I5" s="67">
        <f>IF(B5="","",IF(OR(D5="",F5="",G5=""),"Faltan datos",IF(AND(C5&lt;&gt;"",COUNTIF(Pacientes!$A$2:$A$46,C5)=0),"Código no registrado",IF(AND(F5="Sí",G5="Sí"),"Contradicción: resuelta y derivada","OK"))))</f>
        <v/>
      </c>
    </row>
    <row r="6" ht="15" customHeight="1" s="27">
      <c r="A6" s="39">
        <f>IF(B6="","",ROW()-2)</f>
        <v/>
      </c>
      <c r="B6" s="50" t="n">
        <v>46267</v>
      </c>
      <c r="C6" s="40" t="inlineStr">
        <is>
          <t>SIM-09</t>
        </is>
      </c>
      <c r="D6" s="40" t="inlineStr">
        <is>
          <t>Ubicación</t>
        </is>
      </c>
      <c r="E6" s="53" t="inlineStr">
        <is>
          <t>Chatbot</t>
        </is>
      </c>
      <c r="F6" s="40" t="inlineStr">
        <is>
          <t>Sí</t>
        </is>
      </c>
      <c r="G6" s="40" t="inlineStr">
        <is>
          <t>No</t>
        </is>
      </c>
      <c r="H6" s="54" t="n">
        <v>1.8</v>
      </c>
      <c r="I6" s="67">
        <f>IF(B6="","",IF(OR(D6="",F6="",G6=""),"Faltan datos",IF(AND(C6&lt;&gt;"",COUNTIF(Pacientes!$A$2:$A$46,C6)=0),"Código no registrado",IF(AND(F6="Sí",G6="Sí"),"Contradicción: resuelta y derivada","OK"))))</f>
        <v/>
      </c>
    </row>
    <row r="7" ht="15" customHeight="1" s="27">
      <c r="A7" s="39">
        <f>IF(B7="","",ROW()-2)</f>
        <v/>
      </c>
      <c r="B7" s="50" t="n">
        <v>46267</v>
      </c>
      <c r="C7" s="40" t="n"/>
      <c r="D7" s="40" t="inlineStr">
        <is>
          <t>Citas</t>
        </is>
      </c>
      <c r="E7" s="53" t="inlineStr">
        <is>
          <t>Chatbot</t>
        </is>
      </c>
      <c r="F7" s="40" t="inlineStr">
        <is>
          <t>Sí</t>
        </is>
      </c>
      <c r="G7" s="40" t="inlineStr">
        <is>
          <t>No</t>
        </is>
      </c>
      <c r="H7" s="54" t="n">
        <v>1.9</v>
      </c>
      <c r="I7" s="67">
        <f>IF(B7="","",IF(OR(D7="",F7="",G7=""),"Faltan datos",IF(AND(C7&lt;&gt;"",COUNTIF(Pacientes!$A$2:$A$46,C7)=0),"Código no registrado",IF(AND(F7="Sí",G7="Sí"),"Contradicción: resuelta y derivada","OK"))))</f>
        <v/>
      </c>
    </row>
    <row r="8" ht="15" customHeight="1" s="27">
      <c r="A8" s="39">
        <f>IF(B8="","",ROW()-2)</f>
        <v/>
      </c>
      <c r="B8" s="50" t="n">
        <v>46267</v>
      </c>
      <c r="C8" s="40" t="inlineStr">
        <is>
          <t>SIM-21</t>
        </is>
      </c>
      <c r="D8" s="40" t="inlineStr">
        <is>
          <t>Citas</t>
        </is>
      </c>
      <c r="E8" s="53" t="inlineStr">
        <is>
          <t>Chatbot</t>
        </is>
      </c>
      <c r="F8" s="40" t="inlineStr">
        <is>
          <t>No</t>
        </is>
      </c>
      <c r="G8" s="40" t="inlineStr">
        <is>
          <t>No</t>
        </is>
      </c>
      <c r="H8" s="54" t="n">
        <v>1.4</v>
      </c>
      <c r="I8" s="67">
        <f>IF(B8="","",IF(OR(D8="",F8="",G8=""),"Faltan datos",IF(AND(C8&lt;&gt;"",COUNTIF(Pacientes!$A$2:$A$46,C8)=0),"Código no registrado",IF(AND(F8="Sí",G8="Sí"),"Contradicción: resuelta y derivada","OK"))))</f>
        <v/>
      </c>
    </row>
    <row r="9" ht="15" customHeight="1" s="27">
      <c r="A9" s="39">
        <f>IF(B9="","",ROW()-2)</f>
        <v/>
      </c>
      <c r="B9" s="50" t="n">
        <v>46267</v>
      </c>
      <c r="C9" s="40" t="inlineStr">
        <is>
          <t>SIM-27</t>
        </is>
      </c>
      <c r="D9" s="40" t="inlineStr">
        <is>
          <t>Citas</t>
        </is>
      </c>
      <c r="E9" s="53" t="inlineStr">
        <is>
          <t>Chatbot</t>
        </is>
      </c>
      <c r="F9" s="40" t="inlineStr">
        <is>
          <t>Sí</t>
        </is>
      </c>
      <c r="G9" s="40" t="inlineStr">
        <is>
          <t>No</t>
        </is>
      </c>
      <c r="H9" s="54" t="n">
        <v>1.1</v>
      </c>
      <c r="I9" s="67">
        <f>IF(B9="","",IF(OR(D9="",F9="",G9=""),"Faltan datos",IF(AND(C9&lt;&gt;"",COUNTIF(Pacientes!$A$2:$A$46,C9)=0),"Código no registrado",IF(AND(F9="Sí",G9="Sí"),"Contradicción: resuelta y derivada","OK"))))</f>
        <v/>
      </c>
    </row>
    <row r="10" ht="15" customHeight="1" s="27">
      <c r="A10" s="39">
        <f>IF(B10="","",ROW()-2)</f>
        <v/>
      </c>
      <c r="B10" s="50" t="n">
        <v>46267</v>
      </c>
      <c r="C10" s="40" t="inlineStr">
        <is>
          <t>SIM-04</t>
        </is>
      </c>
      <c r="D10" s="40" t="inlineStr">
        <is>
          <t>Otro</t>
        </is>
      </c>
      <c r="E10" s="53" t="inlineStr">
        <is>
          <t>Chatbot</t>
        </is>
      </c>
      <c r="F10" s="40" t="inlineStr">
        <is>
          <t>Sí</t>
        </is>
      </c>
      <c r="G10" s="40" t="inlineStr">
        <is>
          <t>No</t>
        </is>
      </c>
      <c r="H10" s="54" t="n">
        <v>0.3</v>
      </c>
      <c r="I10" s="67">
        <f>IF(B10="","",IF(OR(D10="",F10="",G10=""),"Faltan datos",IF(AND(C10&lt;&gt;"",COUNTIF(Pacientes!$A$2:$A$46,C10)=0),"Código no registrado",IF(AND(F10="Sí",G10="Sí"),"Contradicción: resuelta y derivada","OK"))))</f>
        <v/>
      </c>
    </row>
    <row r="11" ht="15" customHeight="1" s="27">
      <c r="A11" s="39">
        <f>IF(B11="","",ROW()-2)</f>
        <v/>
      </c>
      <c r="B11" s="50" t="n">
        <v>46267</v>
      </c>
      <c r="C11" s="40" t="inlineStr">
        <is>
          <t>SIM-05</t>
        </is>
      </c>
      <c r="D11" s="40" t="inlineStr">
        <is>
          <t>Requisitos</t>
        </is>
      </c>
      <c r="E11" s="53" t="inlineStr">
        <is>
          <t>Chatbot</t>
        </is>
      </c>
      <c r="F11" s="40" t="inlineStr">
        <is>
          <t>Sí</t>
        </is>
      </c>
      <c r="G11" s="40" t="inlineStr">
        <is>
          <t>No</t>
        </is>
      </c>
      <c r="H11" s="54" t="n">
        <v>1.4</v>
      </c>
      <c r="I11" s="67">
        <f>IF(B11="","",IF(OR(D11="",F11="",G11=""),"Faltan datos",IF(AND(C11&lt;&gt;"",COUNTIF(Pacientes!$A$2:$A$46,C11)=0),"Código no registrado",IF(AND(F11="Sí",G11="Sí"),"Contradicción: resuelta y derivada","OK"))))</f>
        <v/>
      </c>
    </row>
    <row r="12" ht="15" customHeight="1" s="27">
      <c r="A12" s="39">
        <f>IF(B12="","",ROW()-2)</f>
        <v/>
      </c>
      <c r="B12" s="50" t="n">
        <v>46267</v>
      </c>
      <c r="C12" s="40" t="n"/>
      <c r="D12" s="40" t="inlineStr">
        <is>
          <t>Otro</t>
        </is>
      </c>
      <c r="E12" s="53" t="inlineStr">
        <is>
          <t>Chatbot</t>
        </is>
      </c>
      <c r="F12" s="40" t="inlineStr">
        <is>
          <t>Sí</t>
        </is>
      </c>
      <c r="G12" s="40" t="inlineStr">
        <is>
          <t>No</t>
        </is>
      </c>
      <c r="H12" s="54" t="n">
        <v>1.2</v>
      </c>
      <c r="I12" s="67">
        <f>IF(B12="","",IF(OR(D12="",F12="",G12=""),"Faltan datos",IF(AND(C12&lt;&gt;"",COUNTIF(Pacientes!$A$2:$A$46,C12)=0),"Código no registrado",IF(AND(F12="Sí",G12="Sí"),"Contradicción: resuelta y derivada","OK"))))</f>
        <v/>
      </c>
    </row>
    <row r="13" ht="15" customHeight="1" s="27">
      <c r="A13" s="39">
        <f>IF(B13="","",ROW()-2)</f>
        <v/>
      </c>
      <c r="B13" s="50" t="n">
        <v>46269</v>
      </c>
      <c r="C13" s="40" t="inlineStr">
        <is>
          <t>SIM-28</t>
        </is>
      </c>
      <c r="D13" s="40" t="inlineStr">
        <is>
          <t>Citas</t>
        </is>
      </c>
      <c r="E13" s="53" t="inlineStr">
        <is>
          <t>Chatbot</t>
        </is>
      </c>
      <c r="F13" s="40" t="inlineStr">
        <is>
          <t>Sí</t>
        </is>
      </c>
      <c r="G13" s="40" t="inlineStr">
        <is>
          <t>No</t>
        </is>
      </c>
      <c r="H13" s="54" t="n">
        <v>1</v>
      </c>
      <c r="I13" s="67">
        <f>IF(B13="","",IF(OR(D13="",F13="",G13=""),"Faltan datos",IF(AND(C13&lt;&gt;"",COUNTIF(Pacientes!$A$2:$A$46,C13)=0),"Código no registrado",IF(AND(F13="Sí",G13="Sí"),"Contradicción: resuelta y derivada","OK"))))</f>
        <v/>
      </c>
    </row>
    <row r="14" ht="15" customHeight="1" s="27">
      <c r="A14" s="39">
        <f>IF(B14="","",ROW()-2)</f>
        <v/>
      </c>
      <c r="B14" s="50" t="n">
        <v>46269</v>
      </c>
      <c r="C14" s="40" t="inlineStr">
        <is>
          <t>SIM-21</t>
        </is>
      </c>
      <c r="D14" s="40" t="inlineStr">
        <is>
          <t>Citas</t>
        </is>
      </c>
      <c r="E14" s="53" t="inlineStr">
        <is>
          <t>Chatbot</t>
        </is>
      </c>
      <c r="F14" s="40" t="inlineStr">
        <is>
          <t>Sí</t>
        </is>
      </c>
      <c r="G14" s="40" t="inlineStr">
        <is>
          <t>No</t>
        </is>
      </c>
      <c r="H14" s="54" t="n">
        <v>0.9</v>
      </c>
      <c r="I14" s="67">
        <f>IF(B14="","",IF(OR(D14="",F14="",G14=""),"Faltan datos",IF(AND(C14&lt;&gt;"",COUNTIF(Pacientes!$A$2:$A$46,C14)=0),"Código no registrado",IF(AND(F14="Sí",G14="Sí"),"Contradicción: resuelta y derivada","OK"))))</f>
        <v/>
      </c>
    </row>
    <row r="15" ht="15" customHeight="1" s="27">
      <c r="A15" s="39">
        <f>IF(B15="","",ROW()-2)</f>
        <v/>
      </c>
      <c r="B15" s="50" t="n">
        <v>46269</v>
      </c>
      <c r="C15" s="40" t="inlineStr">
        <is>
          <t>SIM-28</t>
        </is>
      </c>
      <c r="D15" s="40" t="inlineStr">
        <is>
          <t>Ubicación</t>
        </is>
      </c>
      <c r="E15" s="53" t="inlineStr">
        <is>
          <t>Chatbot</t>
        </is>
      </c>
      <c r="F15" s="40" t="inlineStr">
        <is>
          <t>No</t>
        </is>
      </c>
      <c r="G15" s="40" t="inlineStr">
        <is>
          <t>Sí</t>
        </is>
      </c>
      <c r="H15" s="54" t="n">
        <v>0.4</v>
      </c>
      <c r="I15" s="67">
        <f>IF(B15="","",IF(OR(D15="",F15="",G15=""),"Faltan datos",IF(AND(C15&lt;&gt;"",COUNTIF(Pacientes!$A$2:$A$46,C15)=0),"Código no registrado",IF(AND(F15="Sí",G15="Sí"),"Contradicción: resuelta y derivada","OK"))))</f>
        <v/>
      </c>
    </row>
    <row r="16" ht="15" customHeight="1" s="27">
      <c r="A16" s="39">
        <f>IF(B16="","",ROW()-2)</f>
        <v/>
      </c>
      <c r="B16" s="50" t="n">
        <v>46269</v>
      </c>
      <c r="C16" s="40" t="inlineStr">
        <is>
          <t>SIM-17</t>
        </is>
      </c>
      <c r="D16" s="40" t="inlineStr">
        <is>
          <t>Requisitos</t>
        </is>
      </c>
      <c r="E16" s="53" t="inlineStr">
        <is>
          <t>Chatbot</t>
        </is>
      </c>
      <c r="F16" s="40" t="inlineStr">
        <is>
          <t>Sí</t>
        </is>
      </c>
      <c r="G16" s="40" t="inlineStr">
        <is>
          <t>No</t>
        </is>
      </c>
      <c r="H16" s="54" t="n">
        <v>0.4</v>
      </c>
      <c r="I16" s="67">
        <f>IF(B16="","",IF(OR(D16="",F16="",G16=""),"Faltan datos",IF(AND(C16&lt;&gt;"",COUNTIF(Pacientes!$A$2:$A$46,C16)=0),"Código no registrado",IF(AND(F16="Sí",G16="Sí"),"Contradicción: resuelta y derivada","OK"))))</f>
        <v/>
      </c>
    </row>
    <row r="17" ht="15" customHeight="1" s="27">
      <c r="A17" s="39">
        <f>IF(B17="","",ROW()-2)</f>
        <v/>
      </c>
      <c r="B17" s="50" t="n">
        <v>46269</v>
      </c>
      <c r="C17" s="40" t="inlineStr">
        <is>
          <t>SIM-24</t>
        </is>
      </c>
      <c r="D17" s="40" t="inlineStr">
        <is>
          <t>Seguimiento administrativo</t>
        </is>
      </c>
      <c r="E17" s="53" t="inlineStr">
        <is>
          <t>Chatbot</t>
        </is>
      </c>
      <c r="F17" s="40" t="inlineStr">
        <is>
          <t>Sí</t>
        </is>
      </c>
      <c r="G17" s="40" t="inlineStr">
        <is>
          <t>No</t>
        </is>
      </c>
      <c r="H17" s="54" t="n">
        <v>0.7</v>
      </c>
      <c r="I17" s="67">
        <f>IF(B17="","",IF(OR(D17="",F17="",G17=""),"Faltan datos",IF(AND(C17&lt;&gt;"",COUNTIF(Pacientes!$A$2:$A$46,C17)=0),"Código no registrado",IF(AND(F17="Sí",G17="Sí"),"Contradicción: resuelta y derivada","OK"))))</f>
        <v/>
      </c>
    </row>
    <row r="18" ht="15" customHeight="1" s="27">
      <c r="A18" s="39">
        <f>IF(B18="","",ROW()-2)</f>
        <v/>
      </c>
      <c r="B18" s="50" t="n">
        <v>46269</v>
      </c>
      <c r="C18" s="40" t="inlineStr">
        <is>
          <t>SIM-29</t>
        </is>
      </c>
      <c r="D18" s="40" t="inlineStr">
        <is>
          <t>Otro</t>
        </is>
      </c>
      <c r="E18" s="53" t="inlineStr">
        <is>
          <t>Chatbot</t>
        </is>
      </c>
      <c r="F18" s="40" t="inlineStr">
        <is>
          <t>Sí</t>
        </is>
      </c>
      <c r="G18" s="40" t="inlineStr">
        <is>
          <t>No</t>
        </is>
      </c>
      <c r="H18" s="54" t="n">
        <v>0.5</v>
      </c>
      <c r="I18" s="67">
        <f>IF(B18="","",IF(OR(D18="",F18="",G18=""),"Faltan datos",IF(AND(C18&lt;&gt;"",COUNTIF(Pacientes!$A$2:$A$46,C18)=0),"Código no registrado",IF(AND(F18="Sí",G18="Sí"),"Contradicción: resuelta y derivada","OK"))))</f>
        <v/>
      </c>
    </row>
    <row r="19" ht="15" customHeight="1" s="27">
      <c r="A19" s="39">
        <f>IF(B19="","",ROW()-2)</f>
        <v/>
      </c>
      <c r="B19" s="50" t="n">
        <v>46269</v>
      </c>
      <c r="C19" s="40" t="inlineStr">
        <is>
          <t>SIM-07</t>
        </is>
      </c>
      <c r="D19" s="40" t="inlineStr">
        <is>
          <t>Citas</t>
        </is>
      </c>
      <c r="E19" s="53" t="inlineStr">
        <is>
          <t>Chatbot</t>
        </is>
      </c>
      <c r="F19" s="40" t="inlineStr">
        <is>
          <t>Sí</t>
        </is>
      </c>
      <c r="G19" s="40" t="inlineStr">
        <is>
          <t>No</t>
        </is>
      </c>
      <c r="H19" s="54" t="n">
        <v>1.7</v>
      </c>
      <c r="I19" s="67">
        <f>IF(B19="","",IF(OR(D19="",F19="",G19=""),"Faltan datos",IF(AND(C19&lt;&gt;"",COUNTIF(Pacientes!$A$2:$A$46,C19)=0),"Código no registrado",IF(AND(F19="Sí",G19="Sí"),"Contradicción: resuelta y derivada","OK"))))</f>
        <v/>
      </c>
    </row>
    <row r="20" ht="15" customHeight="1" s="27">
      <c r="A20" s="39">
        <f>IF(B20="","",ROW()-2)</f>
        <v/>
      </c>
      <c r="B20" s="50" t="n">
        <v>46269</v>
      </c>
      <c r="C20" s="40" t="inlineStr">
        <is>
          <t>SIM-29</t>
        </is>
      </c>
      <c r="D20" s="40" t="inlineStr">
        <is>
          <t>Horarios</t>
        </is>
      </c>
      <c r="E20" s="53" t="inlineStr">
        <is>
          <t>Chatbot</t>
        </is>
      </c>
      <c r="F20" s="40" t="inlineStr">
        <is>
          <t>Sí</t>
        </is>
      </c>
      <c r="G20" s="40" t="inlineStr">
        <is>
          <t>No</t>
        </is>
      </c>
      <c r="H20" s="54" t="n">
        <v>0.2</v>
      </c>
      <c r="I20" s="67">
        <f>IF(B20="","",IF(OR(D20="",F20="",G20=""),"Faltan datos",IF(AND(C20&lt;&gt;"",COUNTIF(Pacientes!$A$2:$A$46,C20)=0),"Código no registrado",IF(AND(F20="Sí",G20="Sí"),"Contradicción: resuelta y derivada","OK"))))</f>
        <v/>
      </c>
    </row>
    <row r="21" ht="15" customHeight="1" s="27">
      <c r="A21" s="39">
        <f>IF(B21="","",ROW()-2)</f>
        <v/>
      </c>
      <c r="B21" s="50" t="n">
        <v>46269</v>
      </c>
      <c r="C21" s="40" t="inlineStr">
        <is>
          <t>SIM-14</t>
        </is>
      </c>
      <c r="D21" s="40" t="inlineStr">
        <is>
          <t>Ubicación</t>
        </is>
      </c>
      <c r="E21" s="53" t="inlineStr">
        <is>
          <t>Chatbot</t>
        </is>
      </c>
      <c r="F21" s="40" t="inlineStr">
        <is>
          <t>No</t>
        </is>
      </c>
      <c r="G21" s="40" t="inlineStr">
        <is>
          <t>Sí</t>
        </is>
      </c>
      <c r="H21" s="54" t="n">
        <v>0.4</v>
      </c>
      <c r="I21" s="67">
        <f>IF(B21="","",IF(OR(D21="",F21="",G21=""),"Faltan datos",IF(AND(C21&lt;&gt;"",COUNTIF(Pacientes!$A$2:$A$46,C21)=0),"Código no registrado",IF(AND(F21="Sí",G21="Sí"),"Contradicción: resuelta y derivada","OK"))))</f>
        <v/>
      </c>
    </row>
    <row r="22" ht="15" customHeight="1" s="27">
      <c r="A22" s="39">
        <f>IF(B22="","",ROW()-2)</f>
        <v/>
      </c>
      <c r="B22" s="50" t="n">
        <v>46272</v>
      </c>
      <c r="C22" s="40" t="inlineStr">
        <is>
          <t>SIM-13</t>
        </is>
      </c>
      <c r="D22" s="40" t="inlineStr">
        <is>
          <t>Seguimiento administrativo</t>
        </is>
      </c>
      <c r="E22" s="53" t="inlineStr">
        <is>
          <t>Chatbot</t>
        </is>
      </c>
      <c r="F22" s="40" t="inlineStr">
        <is>
          <t>No</t>
        </is>
      </c>
      <c r="G22" s="40" t="inlineStr">
        <is>
          <t>Sí</t>
        </is>
      </c>
      <c r="H22" s="54" t="n">
        <v>1.1</v>
      </c>
      <c r="I22" s="67">
        <f>IF(B22="","",IF(OR(D22="",F22="",G22=""),"Faltan datos",IF(AND(C22&lt;&gt;"",COUNTIF(Pacientes!$A$2:$A$46,C22)=0),"Código no registrado",IF(AND(F22="Sí",G22="Sí"),"Contradicción: resuelta y derivada","OK"))))</f>
        <v/>
      </c>
    </row>
    <row r="23" ht="15" customHeight="1" s="27">
      <c r="A23" s="39">
        <f>IF(B23="","",ROW()-2)</f>
        <v/>
      </c>
      <c r="B23" s="50" t="n">
        <v>46272</v>
      </c>
      <c r="C23" s="40" t="inlineStr">
        <is>
          <t>SIM-19</t>
        </is>
      </c>
      <c r="D23" s="40" t="inlineStr">
        <is>
          <t>Requisitos</t>
        </is>
      </c>
      <c r="E23" s="53" t="inlineStr">
        <is>
          <t>Chatbot</t>
        </is>
      </c>
      <c r="F23" s="40" t="inlineStr">
        <is>
          <t>No</t>
        </is>
      </c>
      <c r="G23" s="40" t="inlineStr">
        <is>
          <t>No</t>
        </is>
      </c>
      <c r="H23" s="54" t="n">
        <v>0.3</v>
      </c>
      <c r="I23" s="67">
        <f>IF(B23="","",IF(OR(D23="",F23="",G23=""),"Faltan datos",IF(AND(C23&lt;&gt;"",COUNTIF(Pacientes!$A$2:$A$46,C23)=0),"Código no registrado",IF(AND(F23="Sí",G23="Sí"),"Contradicción: resuelta y derivada","OK"))))</f>
        <v/>
      </c>
    </row>
    <row r="24" ht="15" customHeight="1" s="27">
      <c r="A24" s="39">
        <f>IF(B24="","",ROW()-2)</f>
        <v/>
      </c>
      <c r="B24" s="50" t="n">
        <v>46272</v>
      </c>
      <c r="C24" s="40" t="inlineStr">
        <is>
          <t>SIM-03</t>
        </is>
      </c>
      <c r="D24" s="40" t="inlineStr">
        <is>
          <t>Seguimiento administrativo</t>
        </is>
      </c>
      <c r="E24" s="53" t="inlineStr">
        <is>
          <t>Chatbot</t>
        </is>
      </c>
      <c r="F24" s="40" t="inlineStr">
        <is>
          <t>Sí</t>
        </is>
      </c>
      <c r="G24" s="40" t="inlineStr">
        <is>
          <t>No</t>
        </is>
      </c>
      <c r="H24" s="54" t="n">
        <v>0.6</v>
      </c>
      <c r="I24" s="67">
        <f>IF(B24="","",IF(OR(D24="",F24="",G24=""),"Faltan datos",IF(AND(C24&lt;&gt;"",COUNTIF(Pacientes!$A$2:$A$46,C24)=0),"Código no registrado",IF(AND(F24="Sí",G24="Sí"),"Contradicción: resuelta y derivada","OK"))))</f>
        <v/>
      </c>
    </row>
    <row r="25" ht="15" customHeight="1" s="27">
      <c r="A25" s="39">
        <f>IF(B25="","",ROW()-2)</f>
        <v/>
      </c>
      <c r="B25" s="50" t="n">
        <v>46272</v>
      </c>
      <c r="C25" s="40" t="inlineStr">
        <is>
          <t>SIM-12</t>
        </is>
      </c>
      <c r="D25" s="40" t="inlineStr">
        <is>
          <t>Seguimiento administrativo</t>
        </is>
      </c>
      <c r="E25" s="53" t="inlineStr">
        <is>
          <t>Chatbot</t>
        </is>
      </c>
      <c r="F25" s="40" t="inlineStr">
        <is>
          <t>Sí</t>
        </is>
      </c>
      <c r="G25" s="40" t="inlineStr">
        <is>
          <t>No</t>
        </is>
      </c>
      <c r="H25" s="54" t="n">
        <v>1.7</v>
      </c>
      <c r="I25" s="67">
        <f>IF(B25="","",IF(OR(D25="",F25="",G25=""),"Faltan datos",IF(AND(C25&lt;&gt;"",COUNTIF(Pacientes!$A$2:$A$46,C25)=0),"Código no registrado",IF(AND(F25="Sí",G25="Sí"),"Contradicción: resuelta y derivada","OK"))))</f>
        <v/>
      </c>
    </row>
    <row r="26" ht="15" customHeight="1" s="27">
      <c r="A26" s="39">
        <f>IF(B26="","",ROW()-2)</f>
        <v/>
      </c>
      <c r="B26" s="50" t="n">
        <v>46272</v>
      </c>
      <c r="C26" s="40" t="inlineStr">
        <is>
          <t>SIM-21</t>
        </is>
      </c>
      <c r="D26" s="40" t="inlineStr">
        <is>
          <t>Horarios</t>
        </is>
      </c>
      <c r="E26" s="53" t="inlineStr">
        <is>
          <t>Chatbot</t>
        </is>
      </c>
      <c r="F26" s="40" t="inlineStr">
        <is>
          <t>Sí</t>
        </is>
      </c>
      <c r="G26" s="40" t="inlineStr">
        <is>
          <t>No</t>
        </is>
      </c>
      <c r="H26" s="54" t="n">
        <v>1.4</v>
      </c>
      <c r="I26" s="67">
        <f>IF(B26="","",IF(OR(D26="",F26="",G26=""),"Faltan datos",IF(AND(C26&lt;&gt;"",COUNTIF(Pacientes!$A$2:$A$46,C26)=0),"Código no registrado",IF(AND(F26="Sí",G26="Sí"),"Contradicción: resuelta y derivada","OK"))))</f>
        <v/>
      </c>
    </row>
    <row r="27" ht="15" customHeight="1" s="27">
      <c r="A27" s="39">
        <f>IF(B27="","",ROW()-2)</f>
        <v/>
      </c>
      <c r="B27" s="50" t="n">
        <v>46272</v>
      </c>
      <c r="C27" s="40" t="inlineStr">
        <is>
          <t>SIM-29</t>
        </is>
      </c>
      <c r="D27" s="40" t="inlineStr">
        <is>
          <t>Otro</t>
        </is>
      </c>
      <c r="E27" s="53" t="inlineStr">
        <is>
          <t>Chatbot</t>
        </is>
      </c>
      <c r="F27" s="40" t="inlineStr">
        <is>
          <t>Sí</t>
        </is>
      </c>
      <c r="G27" s="40" t="inlineStr">
        <is>
          <t>No</t>
        </is>
      </c>
      <c r="H27" s="54" t="n">
        <v>1.7</v>
      </c>
      <c r="I27" s="67">
        <f>IF(B27="","",IF(OR(D27="",F27="",G27=""),"Faltan datos",IF(AND(C27&lt;&gt;"",COUNTIF(Pacientes!$A$2:$A$46,C27)=0),"Código no registrado",IF(AND(F27="Sí",G27="Sí"),"Contradicción: resuelta y derivada","OK"))))</f>
        <v/>
      </c>
    </row>
    <row r="28" ht="15" customHeight="1" s="27">
      <c r="A28" s="39">
        <f>IF(B28="","",ROW()-2)</f>
        <v/>
      </c>
      <c r="B28" s="50" t="n">
        <v>46272</v>
      </c>
      <c r="C28" s="40" t="inlineStr">
        <is>
          <t>SIM-22</t>
        </is>
      </c>
      <c r="D28" s="40" t="inlineStr">
        <is>
          <t>Horarios</t>
        </is>
      </c>
      <c r="E28" s="53" t="inlineStr">
        <is>
          <t>Chatbot</t>
        </is>
      </c>
      <c r="F28" s="40" t="inlineStr">
        <is>
          <t>Sí</t>
        </is>
      </c>
      <c r="G28" s="40" t="inlineStr">
        <is>
          <t>No</t>
        </is>
      </c>
      <c r="H28" s="54" t="n">
        <v>0.7</v>
      </c>
      <c r="I28" s="67">
        <f>IF(B28="","",IF(OR(D28="",F28="",G28=""),"Faltan datos",IF(AND(C28&lt;&gt;"",COUNTIF(Pacientes!$A$2:$A$46,C28)=0),"Código no registrado",IF(AND(F28="Sí",G28="Sí"),"Contradicción: resuelta y derivada","OK"))))</f>
        <v/>
      </c>
    </row>
    <row r="29" ht="15" customHeight="1" s="27">
      <c r="A29" s="39">
        <f>IF(B29="","",ROW()-2)</f>
        <v/>
      </c>
      <c r="B29" s="50" t="n">
        <v>46272</v>
      </c>
      <c r="C29" s="40" t="inlineStr">
        <is>
          <t>SIM-28</t>
        </is>
      </c>
      <c r="D29" s="40" t="inlineStr">
        <is>
          <t>Información institucional</t>
        </is>
      </c>
      <c r="E29" s="53" t="inlineStr">
        <is>
          <t>Chatbot</t>
        </is>
      </c>
      <c r="F29" s="40" t="inlineStr">
        <is>
          <t>Sí</t>
        </is>
      </c>
      <c r="G29" s="40" t="inlineStr">
        <is>
          <t>No</t>
        </is>
      </c>
      <c r="H29" s="54" t="n">
        <v>0.3</v>
      </c>
      <c r="I29" s="67">
        <f>IF(B29="","",IF(OR(D29="",F29="",G29=""),"Faltan datos",IF(AND(C29&lt;&gt;"",COUNTIF(Pacientes!$A$2:$A$46,C29)=0),"Código no registrado",IF(AND(F29="Sí",G29="Sí"),"Contradicción: resuelta y derivada","OK"))))</f>
        <v/>
      </c>
    </row>
    <row r="30" ht="15" customHeight="1" s="27">
      <c r="A30" s="39">
        <f>IF(B30="","",ROW()-2)</f>
        <v/>
      </c>
      <c r="B30" s="50" t="n">
        <v>46272</v>
      </c>
      <c r="C30" s="40" t="n"/>
      <c r="D30" s="40" t="inlineStr">
        <is>
          <t>Citas</t>
        </is>
      </c>
      <c r="E30" s="53" t="inlineStr">
        <is>
          <t>Chatbot</t>
        </is>
      </c>
      <c r="F30" s="40" t="inlineStr">
        <is>
          <t>Sí</t>
        </is>
      </c>
      <c r="G30" s="40" t="inlineStr">
        <is>
          <t>No</t>
        </is>
      </c>
      <c r="H30" s="54" t="n">
        <v>1.6</v>
      </c>
      <c r="I30" s="67">
        <f>IF(B30="","",IF(OR(D30="",F30="",G30=""),"Faltan datos",IF(AND(C30&lt;&gt;"",COUNTIF(Pacientes!$A$2:$A$46,C30)=0),"Código no registrado",IF(AND(F30="Sí",G30="Sí"),"Contradicción: resuelta y derivada","OK"))))</f>
        <v/>
      </c>
    </row>
    <row r="31" ht="15" customHeight="1" s="27">
      <c r="A31" s="39">
        <f>IF(B31="","",ROW()-2)</f>
        <v/>
      </c>
      <c r="B31" s="50" t="n">
        <v>46274</v>
      </c>
      <c r="C31" s="40" t="inlineStr">
        <is>
          <t>SIM-25</t>
        </is>
      </c>
      <c r="D31" s="40" t="inlineStr">
        <is>
          <t>Ubicación</t>
        </is>
      </c>
      <c r="E31" s="53" t="inlineStr">
        <is>
          <t>Chatbot</t>
        </is>
      </c>
      <c r="F31" s="40" t="inlineStr">
        <is>
          <t>Sí</t>
        </is>
      </c>
      <c r="G31" s="40" t="inlineStr">
        <is>
          <t>No</t>
        </is>
      </c>
      <c r="H31" s="54" t="n">
        <v>1.8</v>
      </c>
      <c r="I31" s="67">
        <f>IF(B31="","",IF(OR(D31="",F31="",G31=""),"Faltan datos",IF(AND(C31&lt;&gt;"",COUNTIF(Pacientes!$A$2:$A$46,C31)=0),"Código no registrado",IF(AND(F31="Sí",G31="Sí"),"Contradicción: resuelta y derivada","OK"))))</f>
        <v/>
      </c>
    </row>
    <row r="32" ht="15" customHeight="1" s="27">
      <c r="A32" s="39">
        <f>IF(B32="","",ROW()-2)</f>
        <v/>
      </c>
      <c r="B32" s="50" t="n">
        <v>46274</v>
      </c>
      <c r="C32" s="40" t="n"/>
      <c r="D32" s="40" t="inlineStr">
        <is>
          <t>Citas</t>
        </is>
      </c>
      <c r="E32" s="53" t="inlineStr">
        <is>
          <t>Chatbot</t>
        </is>
      </c>
      <c r="F32" s="40" t="inlineStr">
        <is>
          <t>No</t>
        </is>
      </c>
      <c r="G32" s="40" t="inlineStr">
        <is>
          <t>Sí</t>
        </is>
      </c>
      <c r="H32" s="54" t="n">
        <v>0.6</v>
      </c>
      <c r="I32" s="67">
        <f>IF(B32="","",IF(OR(D32="",F32="",G32=""),"Faltan datos",IF(AND(C32&lt;&gt;"",COUNTIF(Pacientes!$A$2:$A$46,C32)=0),"Código no registrado",IF(AND(F32="Sí",G32="Sí"),"Contradicción: resuelta y derivada","OK"))))</f>
        <v/>
      </c>
    </row>
    <row r="33" ht="15" customHeight="1" s="27">
      <c r="A33" s="39">
        <f>IF(B33="","",ROW()-2)</f>
        <v/>
      </c>
      <c r="B33" s="50" t="n">
        <v>46274</v>
      </c>
      <c r="C33" s="40" t="inlineStr">
        <is>
          <t>SIM-23</t>
        </is>
      </c>
      <c r="D33" s="40" t="inlineStr">
        <is>
          <t>Ubicación</t>
        </is>
      </c>
      <c r="E33" s="53" t="inlineStr">
        <is>
          <t>Chatbot</t>
        </is>
      </c>
      <c r="F33" s="40" t="inlineStr">
        <is>
          <t>Sí</t>
        </is>
      </c>
      <c r="G33" s="40" t="inlineStr">
        <is>
          <t>No</t>
        </is>
      </c>
      <c r="H33" s="54" t="n">
        <v>1.1</v>
      </c>
      <c r="I33" s="67">
        <f>IF(B33="","",IF(OR(D33="",F33="",G33=""),"Faltan datos",IF(AND(C33&lt;&gt;"",COUNTIF(Pacientes!$A$2:$A$46,C33)=0),"Código no registrado",IF(AND(F33="Sí",G33="Sí"),"Contradicción: resuelta y derivada","OK"))))</f>
        <v/>
      </c>
    </row>
    <row r="34" ht="15" customHeight="1" s="27">
      <c r="A34" s="39">
        <f>IF(B34="","",ROW()-2)</f>
        <v/>
      </c>
      <c r="B34" s="50" t="n">
        <v>46274</v>
      </c>
      <c r="C34" s="40" t="inlineStr">
        <is>
          <t>SIM-07</t>
        </is>
      </c>
      <c r="D34" s="40" t="inlineStr">
        <is>
          <t>Horarios</t>
        </is>
      </c>
      <c r="E34" s="53" t="inlineStr">
        <is>
          <t>Chatbot</t>
        </is>
      </c>
      <c r="F34" s="40" t="inlineStr">
        <is>
          <t>Sí</t>
        </is>
      </c>
      <c r="G34" s="40" t="inlineStr">
        <is>
          <t>No</t>
        </is>
      </c>
      <c r="H34" s="54" t="n">
        <v>0.9</v>
      </c>
      <c r="I34" s="67">
        <f>IF(B34="","",IF(OR(D34="",F34="",G34=""),"Faltan datos",IF(AND(C34&lt;&gt;"",COUNTIF(Pacientes!$A$2:$A$46,C34)=0),"Código no registrado",IF(AND(F34="Sí",G34="Sí"),"Contradicción: resuelta y derivada","OK"))))</f>
        <v/>
      </c>
    </row>
    <row r="35" ht="15" customHeight="1" s="27">
      <c r="A35" s="39">
        <f>IF(B35="","",ROW()-2)</f>
        <v/>
      </c>
      <c r="B35" s="50" t="n">
        <v>46274</v>
      </c>
      <c r="C35" s="40" t="inlineStr">
        <is>
          <t>SIM-10</t>
        </is>
      </c>
      <c r="D35" s="40" t="inlineStr">
        <is>
          <t>Requisitos</t>
        </is>
      </c>
      <c r="E35" s="53" t="inlineStr">
        <is>
          <t>Chatbot</t>
        </is>
      </c>
      <c r="F35" s="40" t="inlineStr">
        <is>
          <t>Sí</t>
        </is>
      </c>
      <c r="G35" s="40" t="inlineStr">
        <is>
          <t>No</t>
        </is>
      </c>
      <c r="H35" s="54" t="n">
        <v>1.3</v>
      </c>
      <c r="I35" s="67">
        <f>IF(B35="","",IF(OR(D35="",F35="",G35=""),"Faltan datos",IF(AND(C35&lt;&gt;"",COUNTIF(Pacientes!$A$2:$A$46,C35)=0),"Código no registrado",IF(AND(F35="Sí",G35="Sí"),"Contradicción: resuelta y derivada","OK"))))</f>
        <v/>
      </c>
    </row>
    <row r="36" ht="15" customHeight="1" s="27">
      <c r="A36" s="39">
        <f>IF(B36="","",ROW()-2)</f>
        <v/>
      </c>
      <c r="B36" s="50" t="n">
        <v>46274</v>
      </c>
      <c r="C36" s="40" t="inlineStr">
        <is>
          <t>SIM-07</t>
        </is>
      </c>
      <c r="D36" s="40" t="inlineStr">
        <is>
          <t>Información institucional</t>
        </is>
      </c>
      <c r="E36" s="53" t="inlineStr">
        <is>
          <t>Chatbot</t>
        </is>
      </c>
      <c r="F36" s="40" t="inlineStr">
        <is>
          <t>No</t>
        </is>
      </c>
      <c r="G36" s="40" t="inlineStr">
        <is>
          <t>No</t>
        </is>
      </c>
      <c r="H36" s="54" t="n">
        <v>0.7</v>
      </c>
      <c r="I36" s="67">
        <f>IF(B36="","",IF(OR(D36="",F36="",G36=""),"Faltan datos",IF(AND(C36&lt;&gt;"",COUNTIF(Pacientes!$A$2:$A$46,C36)=0),"Código no registrado",IF(AND(F36="Sí",G36="Sí"),"Contradicción: resuelta y derivada","OK"))))</f>
        <v/>
      </c>
    </row>
    <row r="37" ht="15" customHeight="1" s="27">
      <c r="A37" s="39">
        <f>IF(B37="","",ROW()-2)</f>
        <v/>
      </c>
      <c r="B37" s="50" t="n">
        <v>46274</v>
      </c>
      <c r="C37" s="40" t="inlineStr">
        <is>
          <t>SIM-07</t>
        </is>
      </c>
      <c r="D37" s="40" t="inlineStr">
        <is>
          <t>Horarios</t>
        </is>
      </c>
      <c r="E37" s="53" t="inlineStr">
        <is>
          <t>Chatbot</t>
        </is>
      </c>
      <c r="F37" s="40" t="inlineStr">
        <is>
          <t>Sí</t>
        </is>
      </c>
      <c r="G37" s="40" t="inlineStr">
        <is>
          <t>No</t>
        </is>
      </c>
      <c r="H37" s="54" t="n">
        <v>1</v>
      </c>
      <c r="I37" s="67">
        <f>IF(B37="","",IF(OR(D37="",F37="",G37=""),"Faltan datos",IF(AND(C37&lt;&gt;"",COUNTIF(Pacientes!$A$2:$A$46,C37)=0),"Código no registrado",IF(AND(F37="Sí",G37="Sí"),"Contradicción: resuelta y derivada","OK"))))</f>
        <v/>
      </c>
    </row>
    <row r="38" ht="15" customHeight="1" s="27">
      <c r="A38" s="39">
        <f>IF(B38="","",ROW()-2)</f>
        <v/>
      </c>
      <c r="B38" s="50" t="n">
        <v>46274</v>
      </c>
      <c r="C38" s="40" t="inlineStr">
        <is>
          <t>SIM-22</t>
        </is>
      </c>
      <c r="D38" s="40" t="inlineStr">
        <is>
          <t>Horarios</t>
        </is>
      </c>
      <c r="E38" s="53" t="inlineStr">
        <is>
          <t>Chatbot</t>
        </is>
      </c>
      <c r="F38" s="40" t="inlineStr">
        <is>
          <t>Sí</t>
        </is>
      </c>
      <c r="G38" s="40" t="inlineStr">
        <is>
          <t>No</t>
        </is>
      </c>
      <c r="H38" s="54" t="n">
        <v>1.6</v>
      </c>
      <c r="I38" s="67">
        <f>IF(B38="","",IF(OR(D38="",F38="",G38=""),"Faltan datos",IF(AND(C38&lt;&gt;"",COUNTIF(Pacientes!$A$2:$A$46,C38)=0),"Código no registrado",IF(AND(F38="Sí",G38="Sí"),"Contradicción: resuelta y derivada","OK"))))</f>
        <v/>
      </c>
    </row>
    <row r="39" ht="15" customHeight="1" s="27">
      <c r="A39" s="39">
        <f>IF(B39="","",ROW()-2)</f>
        <v/>
      </c>
      <c r="B39" s="50" t="n">
        <v>46274</v>
      </c>
      <c r="C39" s="40" t="inlineStr">
        <is>
          <t>SIM-08</t>
        </is>
      </c>
      <c r="D39" s="40" t="inlineStr">
        <is>
          <t>Horarios</t>
        </is>
      </c>
      <c r="E39" s="53" t="inlineStr">
        <is>
          <t>Chatbot</t>
        </is>
      </c>
      <c r="F39" s="40" t="inlineStr">
        <is>
          <t>Sí</t>
        </is>
      </c>
      <c r="G39" s="40" t="inlineStr">
        <is>
          <t>No</t>
        </is>
      </c>
      <c r="H39" s="54" t="n">
        <v>0.4</v>
      </c>
      <c r="I39" s="67">
        <f>IF(B39="","",IF(OR(D39="",F39="",G39=""),"Faltan datos",IF(AND(C39&lt;&gt;"",COUNTIF(Pacientes!$A$2:$A$46,C39)=0),"Código no registrado",IF(AND(F39="Sí",G39="Sí"),"Contradicción: resuelta y derivada","OK"))))</f>
        <v/>
      </c>
    </row>
    <row r="40" ht="15" customHeight="1" s="27">
      <c r="A40" s="39">
        <f>IF(B40="","",ROW()-2)</f>
        <v/>
      </c>
      <c r="B40" s="50" t="n">
        <v>46274</v>
      </c>
      <c r="C40" s="40" t="inlineStr">
        <is>
          <t>SIM-20</t>
        </is>
      </c>
      <c r="D40" s="40" t="inlineStr">
        <is>
          <t>Ubicación</t>
        </is>
      </c>
      <c r="E40" s="53" t="inlineStr">
        <is>
          <t>Chatbot</t>
        </is>
      </c>
      <c r="F40" s="40" t="inlineStr">
        <is>
          <t>Sí</t>
        </is>
      </c>
      <c r="G40" s="40" t="inlineStr">
        <is>
          <t>No</t>
        </is>
      </c>
      <c r="H40" s="54" t="n">
        <v>0.8</v>
      </c>
      <c r="I40" s="67">
        <f>IF(B40="","",IF(OR(D40="",F40="",G40=""),"Faltan datos",IF(AND(C40&lt;&gt;"",COUNTIF(Pacientes!$A$2:$A$46,C40)=0),"Código no registrado",IF(AND(F40="Sí",G40="Sí"),"Contradicción: resuelta y derivada","OK"))))</f>
        <v/>
      </c>
    </row>
    <row r="41" ht="15" customHeight="1" s="27">
      <c r="A41" s="39">
        <f>IF(B41="","",ROW()-2)</f>
        <v/>
      </c>
      <c r="B41" s="50" t="n">
        <v>46274</v>
      </c>
      <c r="C41" s="40" t="inlineStr">
        <is>
          <t>SIM-19</t>
        </is>
      </c>
      <c r="D41" s="40" t="inlineStr">
        <is>
          <t>Ubicación</t>
        </is>
      </c>
      <c r="E41" s="53" t="inlineStr">
        <is>
          <t>Chatbot</t>
        </is>
      </c>
      <c r="F41" s="40" t="inlineStr">
        <is>
          <t>Sí</t>
        </is>
      </c>
      <c r="G41" s="40" t="inlineStr">
        <is>
          <t>No</t>
        </is>
      </c>
      <c r="H41" s="54" t="n">
        <v>1.6</v>
      </c>
      <c r="I41" s="67">
        <f>IF(B41="","",IF(OR(D41="",F41="",G41=""),"Faltan datos",IF(AND(C41&lt;&gt;"",COUNTIF(Pacientes!$A$2:$A$46,C41)=0),"Código no registrado",IF(AND(F41="Sí",G41="Sí"),"Contradicción: resuelta y derivada","OK"))))</f>
        <v/>
      </c>
    </row>
    <row r="42" ht="15" customHeight="1" s="27">
      <c r="A42" s="39">
        <f>IF(B42="","",ROW()-2)</f>
        <v/>
      </c>
      <c r="B42" s="50" t="n">
        <v>46274</v>
      </c>
      <c r="C42" s="40" t="inlineStr">
        <is>
          <t>SIM-01</t>
        </is>
      </c>
      <c r="D42" s="40" t="inlineStr">
        <is>
          <t>Ubicación</t>
        </is>
      </c>
      <c r="E42" s="53" t="inlineStr">
        <is>
          <t>Chatbot</t>
        </is>
      </c>
      <c r="F42" s="40" t="inlineStr">
        <is>
          <t>No</t>
        </is>
      </c>
      <c r="G42" s="40" t="inlineStr">
        <is>
          <t>Sí</t>
        </is>
      </c>
      <c r="H42" s="54" t="n">
        <v>0.7</v>
      </c>
      <c r="I42" s="67">
        <f>IF(B42="","",IF(OR(D42="",F42="",G42=""),"Faltan datos",IF(AND(C42&lt;&gt;"",COUNTIF(Pacientes!$A$2:$A$46,C42)=0),"Código no registrado",IF(AND(F42="Sí",G42="Sí"),"Contradicción: resuelta y derivada","OK"))))</f>
        <v/>
      </c>
    </row>
    <row r="43" ht="15" customHeight="1" s="27">
      <c r="A43" s="39">
        <f>IF(B43="","",ROW()-2)</f>
        <v/>
      </c>
      <c r="B43" s="50" t="n">
        <v>46276</v>
      </c>
      <c r="C43" s="40" t="inlineStr">
        <is>
          <t>SIM-14</t>
        </is>
      </c>
      <c r="D43" s="40" t="inlineStr">
        <is>
          <t>Información institucional</t>
        </is>
      </c>
      <c r="E43" s="53" t="inlineStr">
        <is>
          <t>Chatbot</t>
        </is>
      </c>
      <c r="F43" s="40" t="inlineStr">
        <is>
          <t>Sí</t>
        </is>
      </c>
      <c r="G43" s="40" t="inlineStr">
        <is>
          <t>No</t>
        </is>
      </c>
      <c r="H43" s="54" t="n">
        <v>0.7</v>
      </c>
      <c r="I43" s="67">
        <f>IF(B43="","",IF(OR(D43="",F43="",G43=""),"Faltan datos",IF(AND(C43&lt;&gt;"",COUNTIF(Pacientes!$A$2:$A$46,C43)=0),"Código no registrado",IF(AND(F43="Sí",G43="Sí"),"Contradicción: resuelta y derivada","OK"))))</f>
        <v/>
      </c>
    </row>
    <row r="44" ht="15" customHeight="1" s="27">
      <c r="A44" s="39">
        <f>IF(B44="","",ROW()-2)</f>
        <v/>
      </c>
      <c r="B44" s="50" t="n">
        <v>46276</v>
      </c>
      <c r="C44" s="40" t="inlineStr">
        <is>
          <t>SIM-28</t>
        </is>
      </c>
      <c r="D44" s="40" t="inlineStr">
        <is>
          <t>Ubicación</t>
        </is>
      </c>
      <c r="E44" s="53" t="inlineStr">
        <is>
          <t>Chatbot</t>
        </is>
      </c>
      <c r="F44" s="40" t="inlineStr">
        <is>
          <t>Sí</t>
        </is>
      </c>
      <c r="G44" s="40" t="inlineStr">
        <is>
          <t>No</t>
        </is>
      </c>
      <c r="H44" s="54" t="n">
        <v>1.8</v>
      </c>
      <c r="I44" s="67">
        <f>IF(B44="","",IF(OR(D44="",F44="",G44=""),"Faltan datos",IF(AND(C44&lt;&gt;"",COUNTIF(Pacientes!$A$2:$A$46,C44)=0),"Código no registrado",IF(AND(F44="Sí",G44="Sí"),"Contradicción: resuelta y derivada","OK"))))</f>
        <v/>
      </c>
    </row>
    <row r="45" ht="15" customHeight="1" s="27">
      <c r="A45" s="39">
        <f>IF(B45="","",ROW()-2)</f>
        <v/>
      </c>
      <c r="B45" s="50" t="n">
        <v>46276</v>
      </c>
      <c r="C45" s="40" t="inlineStr">
        <is>
          <t>SIM-03</t>
        </is>
      </c>
      <c r="D45" s="40" t="inlineStr">
        <is>
          <t>Información institucional</t>
        </is>
      </c>
      <c r="E45" s="53" t="inlineStr">
        <is>
          <t>Chatbot</t>
        </is>
      </c>
      <c r="F45" s="40" t="inlineStr">
        <is>
          <t>No</t>
        </is>
      </c>
      <c r="G45" s="40" t="inlineStr">
        <is>
          <t>Sí</t>
        </is>
      </c>
      <c r="H45" s="54" t="n">
        <v>0.8</v>
      </c>
      <c r="I45" s="67">
        <f>IF(B45="","",IF(OR(D45="",F45="",G45=""),"Faltan datos",IF(AND(C45&lt;&gt;"",COUNTIF(Pacientes!$A$2:$A$46,C45)=0),"Código no registrado",IF(AND(F45="Sí",G45="Sí"),"Contradicción: resuelta y derivada","OK"))))</f>
        <v/>
      </c>
    </row>
    <row r="46" ht="15" customHeight="1" s="27">
      <c r="A46" s="39">
        <f>IF(B46="","",ROW()-2)</f>
        <v/>
      </c>
      <c r="B46" s="50" t="n">
        <v>46276</v>
      </c>
      <c r="C46" s="40" t="inlineStr">
        <is>
          <t>SIM-20</t>
        </is>
      </c>
      <c r="D46" s="40" t="inlineStr">
        <is>
          <t>Horarios</t>
        </is>
      </c>
      <c r="E46" s="53" t="inlineStr">
        <is>
          <t>Chatbot</t>
        </is>
      </c>
      <c r="F46" s="40" t="inlineStr">
        <is>
          <t>No</t>
        </is>
      </c>
      <c r="G46" s="40" t="inlineStr">
        <is>
          <t>Sí</t>
        </is>
      </c>
      <c r="H46" s="54" t="n">
        <v>1.5</v>
      </c>
      <c r="I46" s="67">
        <f>IF(B46="","",IF(OR(D46="",F46="",G46=""),"Faltan datos",IF(AND(C46&lt;&gt;"",COUNTIF(Pacientes!$A$2:$A$46,C46)=0),"Código no registrado",IF(AND(F46="Sí",G46="Sí"),"Contradicción: resuelta y derivada","OK"))))</f>
        <v/>
      </c>
    </row>
    <row r="47" ht="15" customHeight="1" s="27">
      <c r="A47" s="39">
        <f>IF(B47="","",ROW()-2)</f>
        <v/>
      </c>
      <c r="B47" s="50" t="n">
        <v>46276</v>
      </c>
      <c r="C47" s="40" t="inlineStr">
        <is>
          <t>SIM-19</t>
        </is>
      </c>
      <c r="D47" s="40" t="inlineStr">
        <is>
          <t>Citas</t>
        </is>
      </c>
      <c r="E47" s="53" t="inlineStr">
        <is>
          <t>Chatbot</t>
        </is>
      </c>
      <c r="F47" s="40" t="inlineStr">
        <is>
          <t>No</t>
        </is>
      </c>
      <c r="G47" s="40" t="inlineStr">
        <is>
          <t>Sí</t>
        </is>
      </c>
      <c r="H47" s="54" t="n">
        <v>0.8</v>
      </c>
      <c r="I47" s="67">
        <f>IF(B47="","",IF(OR(D47="",F47="",G47=""),"Faltan datos",IF(AND(C47&lt;&gt;"",COUNTIF(Pacientes!$A$2:$A$46,C47)=0),"Código no registrado",IF(AND(F47="Sí",G47="Sí"),"Contradicción: resuelta y derivada","OK"))))</f>
        <v/>
      </c>
    </row>
    <row r="48" ht="15" customHeight="1" s="27">
      <c r="A48" s="39">
        <f>IF(B48="","",ROW()-2)</f>
        <v/>
      </c>
      <c r="B48" s="50" t="n">
        <v>46276</v>
      </c>
      <c r="C48" s="40" t="inlineStr">
        <is>
          <t>SIM-06</t>
        </is>
      </c>
      <c r="D48" s="40" t="inlineStr">
        <is>
          <t>Citas</t>
        </is>
      </c>
      <c r="E48" s="53" t="inlineStr">
        <is>
          <t>Chatbot</t>
        </is>
      </c>
      <c r="F48" s="40" t="inlineStr">
        <is>
          <t>Sí</t>
        </is>
      </c>
      <c r="G48" s="40" t="inlineStr">
        <is>
          <t>No</t>
        </is>
      </c>
      <c r="H48" s="54" t="n">
        <v>0.6</v>
      </c>
      <c r="I48" s="67">
        <f>IF(B48="","",IF(OR(D48="",F48="",G48=""),"Faltan datos",IF(AND(C48&lt;&gt;"",COUNTIF(Pacientes!$A$2:$A$46,C48)=0),"Código no registrado",IF(AND(F48="Sí",G48="Sí"),"Contradicción: resuelta y derivada","OK"))))</f>
        <v/>
      </c>
    </row>
    <row r="49" ht="15" customHeight="1" s="27">
      <c r="A49" s="39">
        <f>IF(B49="","",ROW()-2)</f>
        <v/>
      </c>
      <c r="B49" s="50" t="n">
        <v>46276</v>
      </c>
      <c r="C49" s="40" t="inlineStr">
        <is>
          <t>SIM-19</t>
        </is>
      </c>
      <c r="D49" s="40" t="inlineStr">
        <is>
          <t>Información institucional</t>
        </is>
      </c>
      <c r="E49" s="53" t="inlineStr">
        <is>
          <t>Chatbot</t>
        </is>
      </c>
      <c r="F49" s="40" t="inlineStr">
        <is>
          <t>No</t>
        </is>
      </c>
      <c r="G49" s="40" t="inlineStr">
        <is>
          <t>Sí</t>
        </is>
      </c>
      <c r="H49" s="54" t="n">
        <v>1.8</v>
      </c>
      <c r="I49" s="67">
        <f>IF(B49="","",IF(OR(D49="",F49="",G49=""),"Faltan datos",IF(AND(C49&lt;&gt;"",COUNTIF(Pacientes!$A$2:$A$46,C49)=0),"Código no registrado",IF(AND(F49="Sí",G49="Sí"),"Contradicción: resuelta y derivada","OK"))))</f>
        <v/>
      </c>
    </row>
    <row r="50" ht="15" customHeight="1" s="27">
      <c r="A50" s="39">
        <f>IF(B50="","",ROW()-2)</f>
        <v/>
      </c>
      <c r="B50" s="50" t="n">
        <v>46276</v>
      </c>
      <c r="C50" s="40" t="inlineStr">
        <is>
          <t>SIM-15</t>
        </is>
      </c>
      <c r="D50" s="40" t="inlineStr">
        <is>
          <t>Otro</t>
        </is>
      </c>
      <c r="E50" s="53" t="inlineStr">
        <is>
          <t>Chatbot</t>
        </is>
      </c>
      <c r="F50" s="40" t="inlineStr">
        <is>
          <t>Sí</t>
        </is>
      </c>
      <c r="G50" s="40" t="inlineStr">
        <is>
          <t>No</t>
        </is>
      </c>
      <c r="H50" s="54" t="n">
        <v>1.5</v>
      </c>
      <c r="I50" s="67">
        <f>IF(B50="","",IF(OR(D50="",F50="",G50=""),"Faltan datos",IF(AND(C50&lt;&gt;"",COUNTIF(Pacientes!$A$2:$A$46,C50)=0),"Código no registrado",IF(AND(F50="Sí",G50="Sí"),"Contradicción: resuelta y derivada","OK"))))</f>
        <v/>
      </c>
    </row>
    <row r="51" ht="15" customHeight="1" s="27">
      <c r="A51" s="39">
        <f>IF(B51="","",ROW()-2)</f>
        <v/>
      </c>
      <c r="B51" s="50" t="n">
        <v>46276</v>
      </c>
      <c r="C51" s="40" t="n"/>
      <c r="D51" s="40" t="inlineStr">
        <is>
          <t>Seguimiento administrativo</t>
        </is>
      </c>
      <c r="E51" s="53" t="inlineStr">
        <is>
          <t>Chatbot</t>
        </is>
      </c>
      <c r="F51" s="40" t="inlineStr">
        <is>
          <t>Sí</t>
        </is>
      </c>
      <c r="G51" s="40" t="inlineStr">
        <is>
          <t>No</t>
        </is>
      </c>
      <c r="H51" s="54" t="n">
        <v>1.4</v>
      </c>
      <c r="I51" s="67">
        <f>IF(B51="","",IF(OR(D51="",F51="",G51=""),"Faltan datos",IF(AND(C51&lt;&gt;"",COUNTIF(Pacientes!$A$2:$A$46,C51)=0),"Código no registrado",IF(AND(F51="Sí",G51="Sí"),"Contradicción: resuelta y derivada","OK"))))</f>
        <v/>
      </c>
    </row>
    <row r="52" ht="15" customHeight="1" s="27">
      <c r="A52" s="39">
        <f>IF(B52="","",ROW()-2)</f>
        <v/>
      </c>
      <c r="B52" s="50" t="n">
        <v>46276</v>
      </c>
      <c r="C52" s="40" t="inlineStr">
        <is>
          <t>SIM-25</t>
        </is>
      </c>
      <c r="D52" s="40" t="inlineStr">
        <is>
          <t>Requisitos</t>
        </is>
      </c>
      <c r="E52" s="53" t="inlineStr">
        <is>
          <t>Chatbot</t>
        </is>
      </c>
      <c r="F52" s="40" t="inlineStr">
        <is>
          <t>Sí</t>
        </is>
      </c>
      <c r="G52" s="40" t="inlineStr">
        <is>
          <t>No</t>
        </is>
      </c>
      <c r="H52" s="54" t="n">
        <v>1.3</v>
      </c>
      <c r="I52" s="67">
        <f>IF(B52="","",IF(OR(D52="",F52="",G52=""),"Faltan datos",IF(AND(C52&lt;&gt;"",COUNTIF(Pacientes!$A$2:$A$46,C52)=0),"Código no registrado",IF(AND(F52="Sí",G52="Sí"),"Contradicción: resuelta y derivada","OK"))))</f>
        <v/>
      </c>
    </row>
    <row r="53" ht="15" customHeight="1" s="27">
      <c r="A53" s="39">
        <f>IF(B53="","",ROW()-2)</f>
        <v/>
      </c>
      <c r="B53" s="50" t="n">
        <v>46276</v>
      </c>
      <c r="C53" s="40" t="n"/>
      <c r="D53" s="40" t="inlineStr">
        <is>
          <t>Otro</t>
        </is>
      </c>
      <c r="E53" s="53" t="inlineStr">
        <is>
          <t>Chatbot</t>
        </is>
      </c>
      <c r="F53" s="40" t="inlineStr">
        <is>
          <t>Sí</t>
        </is>
      </c>
      <c r="G53" s="40" t="inlineStr">
        <is>
          <t>No</t>
        </is>
      </c>
      <c r="H53" s="54" t="n">
        <v>0.3</v>
      </c>
      <c r="I53" s="67">
        <f>IF(B53="","",IF(OR(D53="",F53="",G53=""),"Faltan datos",IF(AND(C53&lt;&gt;"",COUNTIF(Pacientes!$A$2:$A$46,C53)=0),"Código no registrado",IF(AND(F53="Sí",G53="Sí"),"Contradicción: resuelta y derivada","OK"))))</f>
        <v/>
      </c>
    </row>
    <row r="54" ht="15" customHeight="1" s="27">
      <c r="A54" s="39">
        <f>IF(B54="","",ROW()-2)</f>
        <v/>
      </c>
      <c r="B54" s="50" t="n">
        <v>46276</v>
      </c>
      <c r="C54" s="40" t="n"/>
      <c r="D54" s="40" t="inlineStr">
        <is>
          <t>Horarios</t>
        </is>
      </c>
      <c r="E54" s="53" t="inlineStr">
        <is>
          <t>Chatbot</t>
        </is>
      </c>
      <c r="F54" s="40" t="inlineStr">
        <is>
          <t>Sí</t>
        </is>
      </c>
      <c r="G54" s="40" t="inlineStr">
        <is>
          <t>No</t>
        </is>
      </c>
      <c r="H54" s="54" t="n">
        <v>0.4</v>
      </c>
      <c r="I54" s="67">
        <f>IF(B54="","",IF(OR(D54="",F54="",G54=""),"Faltan datos",IF(AND(C54&lt;&gt;"",COUNTIF(Pacientes!$A$2:$A$46,C54)=0),"Código no registrado",IF(AND(F54="Sí",G54="Sí"),"Contradicción: resuelta y derivada","OK"))))</f>
        <v/>
      </c>
    </row>
    <row r="55" ht="15" customHeight="1" s="27">
      <c r="A55" s="39">
        <f>IF(B55="","",ROW()-2)</f>
        <v/>
      </c>
      <c r="B55" s="50" t="n">
        <v>46276</v>
      </c>
      <c r="C55" s="40" t="n"/>
      <c r="D55" s="40" t="inlineStr">
        <is>
          <t>Ubicación</t>
        </is>
      </c>
      <c r="E55" s="53" t="inlineStr">
        <is>
          <t>Chatbot</t>
        </is>
      </c>
      <c r="F55" s="40" t="inlineStr">
        <is>
          <t>Sí</t>
        </is>
      </c>
      <c r="G55" s="40" t="inlineStr">
        <is>
          <t>No</t>
        </is>
      </c>
      <c r="H55" s="54" t="n">
        <v>1.9</v>
      </c>
      <c r="I55" s="67">
        <f>IF(B55="","",IF(OR(D55="",F55="",G55=""),"Faltan datos",IF(AND(C55&lt;&gt;"",COUNTIF(Pacientes!$A$2:$A$46,C55)=0),"Código no registrado",IF(AND(F55="Sí",G55="Sí"),"Contradicción: resuelta y derivada","OK"))))</f>
        <v/>
      </c>
    </row>
    <row r="56" ht="15" customHeight="1" s="27">
      <c r="A56" s="39">
        <f>IF(B56="","",ROW()-2)</f>
        <v/>
      </c>
      <c r="B56" s="50" t="n">
        <v>46279</v>
      </c>
      <c r="C56" s="40" t="inlineStr">
        <is>
          <t>SIM-10</t>
        </is>
      </c>
      <c r="D56" s="40" t="inlineStr">
        <is>
          <t>Horarios</t>
        </is>
      </c>
      <c r="E56" s="53" t="inlineStr">
        <is>
          <t>Chatbot</t>
        </is>
      </c>
      <c r="F56" s="40" t="inlineStr">
        <is>
          <t>Sí</t>
        </is>
      </c>
      <c r="G56" s="40" t="inlineStr">
        <is>
          <t>No</t>
        </is>
      </c>
      <c r="H56" s="54" t="n">
        <v>0.5</v>
      </c>
      <c r="I56" s="67">
        <f>IF(B56="","",IF(OR(D56="",F56="",G56=""),"Faltan datos",IF(AND(C56&lt;&gt;"",COUNTIF(Pacientes!$A$2:$A$46,C56)=0),"Código no registrado",IF(AND(F56="Sí",G56="Sí"),"Contradicción: resuelta y derivada","OK"))))</f>
        <v/>
      </c>
    </row>
    <row r="57" ht="15" customHeight="1" s="27">
      <c r="A57" s="39">
        <f>IF(B57="","",ROW()-2)</f>
        <v/>
      </c>
      <c r="B57" s="50" t="n">
        <v>46279</v>
      </c>
      <c r="C57" s="40" t="inlineStr">
        <is>
          <t>SIM-07</t>
        </is>
      </c>
      <c r="D57" s="40" t="inlineStr">
        <is>
          <t>Ubicación</t>
        </is>
      </c>
      <c r="E57" s="53" t="inlineStr">
        <is>
          <t>Chatbot</t>
        </is>
      </c>
      <c r="F57" s="40" t="inlineStr">
        <is>
          <t>Sí</t>
        </is>
      </c>
      <c r="G57" s="40" t="inlineStr">
        <is>
          <t>No</t>
        </is>
      </c>
      <c r="H57" s="54" t="n">
        <v>0.6</v>
      </c>
      <c r="I57" s="67">
        <f>IF(B57="","",IF(OR(D57="",F57="",G57=""),"Faltan datos",IF(AND(C57&lt;&gt;"",COUNTIF(Pacientes!$A$2:$A$46,C57)=0),"Código no registrado",IF(AND(F57="Sí",G57="Sí"),"Contradicción: resuelta y derivada","OK"))))</f>
        <v/>
      </c>
    </row>
    <row r="58" ht="15" customHeight="1" s="27">
      <c r="A58" s="39">
        <f>IF(B58="","",ROW()-2)</f>
        <v/>
      </c>
      <c r="B58" s="50" t="n">
        <v>46279</v>
      </c>
      <c r="C58" s="40" t="inlineStr">
        <is>
          <t>SIM-16</t>
        </is>
      </c>
      <c r="D58" s="40" t="inlineStr">
        <is>
          <t>Ubicación</t>
        </is>
      </c>
      <c r="E58" s="53" t="inlineStr">
        <is>
          <t>Chatbot</t>
        </is>
      </c>
      <c r="F58" s="40" t="inlineStr">
        <is>
          <t>No</t>
        </is>
      </c>
      <c r="G58" s="40" t="inlineStr">
        <is>
          <t>Sí</t>
        </is>
      </c>
      <c r="H58" s="54" t="n">
        <v>0.3</v>
      </c>
      <c r="I58" s="67">
        <f>IF(B58="","",IF(OR(D58="",F58="",G58=""),"Faltan datos",IF(AND(C58&lt;&gt;"",COUNTIF(Pacientes!$A$2:$A$46,C58)=0),"Código no registrado",IF(AND(F58="Sí",G58="Sí"),"Contradicción: resuelta y derivada","OK"))))</f>
        <v/>
      </c>
    </row>
    <row r="59" ht="15" customHeight="1" s="27">
      <c r="A59" s="39">
        <f>IF(B59="","",ROW()-2)</f>
        <v/>
      </c>
      <c r="B59" s="50" t="n">
        <v>46279</v>
      </c>
      <c r="C59" s="40" t="inlineStr">
        <is>
          <t>SIM-19</t>
        </is>
      </c>
      <c r="D59" s="40" t="inlineStr">
        <is>
          <t>Ubicación</t>
        </is>
      </c>
      <c r="E59" s="53" t="inlineStr">
        <is>
          <t>Chatbot</t>
        </is>
      </c>
      <c r="F59" s="40" t="inlineStr">
        <is>
          <t>Sí</t>
        </is>
      </c>
      <c r="G59" s="40" t="inlineStr">
        <is>
          <t>No</t>
        </is>
      </c>
      <c r="H59" s="54" t="n">
        <v>1.3</v>
      </c>
      <c r="I59" s="67">
        <f>IF(B59="","",IF(OR(D59="",F59="",G59=""),"Faltan datos",IF(AND(C59&lt;&gt;"",COUNTIF(Pacientes!$A$2:$A$46,C59)=0),"Código no registrado",IF(AND(F59="Sí",G59="Sí"),"Contradicción: resuelta y derivada","OK"))))</f>
        <v/>
      </c>
    </row>
    <row r="60" ht="15" customHeight="1" s="27">
      <c r="A60" s="39">
        <f>IF(B60="","",ROW()-2)</f>
        <v/>
      </c>
      <c r="B60" s="50" t="n">
        <v>46279</v>
      </c>
      <c r="C60" s="40" t="n"/>
      <c r="D60" s="40" t="inlineStr">
        <is>
          <t>Información institucional</t>
        </is>
      </c>
      <c r="E60" s="53" t="inlineStr">
        <is>
          <t>Chatbot</t>
        </is>
      </c>
      <c r="F60" s="40" t="inlineStr">
        <is>
          <t>Sí</t>
        </is>
      </c>
      <c r="G60" s="40" t="inlineStr">
        <is>
          <t>No</t>
        </is>
      </c>
      <c r="H60" s="54" t="n">
        <v>0.4</v>
      </c>
      <c r="I60" s="67">
        <f>IF(B60="","",IF(OR(D60="",F60="",G60=""),"Faltan datos",IF(AND(C60&lt;&gt;"",COUNTIF(Pacientes!$A$2:$A$46,C60)=0),"Código no registrado",IF(AND(F60="Sí",G60="Sí"),"Contradicción: resuelta y derivada","OK"))))</f>
        <v/>
      </c>
    </row>
    <row r="61" ht="15" customHeight="1" s="27">
      <c r="A61" s="39">
        <f>IF(B61="","",ROW()-2)</f>
        <v/>
      </c>
      <c r="B61" s="50" t="n">
        <v>46279</v>
      </c>
      <c r="C61" s="40" t="n"/>
      <c r="D61" s="40" t="inlineStr">
        <is>
          <t>Requisitos</t>
        </is>
      </c>
      <c r="E61" s="53" t="inlineStr">
        <is>
          <t>Chatbot</t>
        </is>
      </c>
      <c r="F61" s="40" t="inlineStr">
        <is>
          <t>No</t>
        </is>
      </c>
      <c r="G61" s="40" t="inlineStr">
        <is>
          <t>Sí</t>
        </is>
      </c>
      <c r="H61" s="54" t="n">
        <v>0.7</v>
      </c>
      <c r="I61" s="67">
        <f>IF(B61="","",IF(OR(D61="",F61="",G61=""),"Faltan datos",IF(AND(C61&lt;&gt;"",COUNTIF(Pacientes!$A$2:$A$46,C61)=0),"Código no registrado",IF(AND(F61="Sí",G61="Sí"),"Contradicción: resuelta y derivada","OK"))))</f>
        <v/>
      </c>
    </row>
    <row r="62" ht="15" customHeight="1" s="27">
      <c r="A62" s="39">
        <f>IF(B62="","",ROW()-2)</f>
        <v/>
      </c>
      <c r="B62" s="50" t="n">
        <v>46279</v>
      </c>
      <c r="C62" s="40" t="n"/>
      <c r="D62" s="40" t="inlineStr">
        <is>
          <t>Horarios</t>
        </is>
      </c>
      <c r="E62" s="53" t="inlineStr">
        <is>
          <t>Chatbot</t>
        </is>
      </c>
      <c r="F62" s="40" t="inlineStr">
        <is>
          <t>Sí</t>
        </is>
      </c>
      <c r="G62" s="40" t="inlineStr">
        <is>
          <t>No</t>
        </is>
      </c>
      <c r="H62" s="54" t="n">
        <v>0.7</v>
      </c>
      <c r="I62" s="67">
        <f>IF(B62="","",IF(OR(D62="",F62="",G62=""),"Faltan datos",IF(AND(C62&lt;&gt;"",COUNTIF(Pacientes!$A$2:$A$46,C62)=0),"Código no registrado",IF(AND(F62="Sí",G62="Sí"),"Contradicción: resuelta y derivada","OK"))))</f>
        <v/>
      </c>
    </row>
    <row r="63" ht="15" customHeight="1" s="27">
      <c r="A63" s="39">
        <f>IF(B63="","",ROW()-2)</f>
        <v/>
      </c>
      <c r="B63" s="50" t="n">
        <v>46279</v>
      </c>
      <c r="C63" s="40" t="inlineStr">
        <is>
          <t>SIM-19</t>
        </is>
      </c>
      <c r="D63" s="40" t="inlineStr">
        <is>
          <t>Otro</t>
        </is>
      </c>
      <c r="E63" s="53" t="inlineStr">
        <is>
          <t>Chatbot</t>
        </is>
      </c>
      <c r="F63" s="40" t="inlineStr">
        <is>
          <t>Sí</t>
        </is>
      </c>
      <c r="G63" s="40" t="inlineStr">
        <is>
          <t>No</t>
        </is>
      </c>
      <c r="H63" s="54" t="n">
        <v>1.2</v>
      </c>
      <c r="I63" s="67">
        <f>IF(B63="","",IF(OR(D63="",F63="",G63=""),"Faltan datos",IF(AND(C63&lt;&gt;"",COUNTIF(Pacientes!$A$2:$A$46,C63)=0),"Código no registrado",IF(AND(F63="Sí",G63="Sí"),"Contradicción: resuelta y derivada","OK"))))</f>
        <v/>
      </c>
    </row>
    <row r="64" ht="15" customHeight="1" s="27">
      <c r="A64" s="39">
        <f>IF(B64="","",ROW()-2)</f>
        <v/>
      </c>
      <c r="B64" s="50" t="n">
        <v>46279</v>
      </c>
      <c r="C64" s="40" t="inlineStr">
        <is>
          <t>SIM-08</t>
        </is>
      </c>
      <c r="D64" s="40" t="inlineStr">
        <is>
          <t>Ubicación</t>
        </is>
      </c>
      <c r="E64" s="53" t="inlineStr">
        <is>
          <t>Chatbot</t>
        </is>
      </c>
      <c r="F64" s="40" t="inlineStr">
        <is>
          <t>Sí</t>
        </is>
      </c>
      <c r="G64" s="40" t="inlineStr">
        <is>
          <t>No</t>
        </is>
      </c>
      <c r="H64" s="54" t="n">
        <v>1.1</v>
      </c>
      <c r="I64" s="67">
        <f>IF(B64="","",IF(OR(D64="",F64="",G64=""),"Faltan datos",IF(AND(C64&lt;&gt;"",COUNTIF(Pacientes!$A$2:$A$46,C64)=0),"Código no registrado",IF(AND(F64="Sí",G64="Sí"),"Contradicción: resuelta y derivada","OK"))))</f>
        <v/>
      </c>
    </row>
    <row r="65" ht="15" customHeight="1" s="27">
      <c r="A65" s="39">
        <f>IF(B65="","",ROW()-2)</f>
        <v/>
      </c>
      <c r="B65" s="50" t="n">
        <v>46281</v>
      </c>
      <c r="C65" s="40" t="inlineStr">
        <is>
          <t>SIM-07</t>
        </is>
      </c>
      <c r="D65" s="40" t="inlineStr">
        <is>
          <t>Otro</t>
        </is>
      </c>
      <c r="E65" s="53" t="inlineStr">
        <is>
          <t>Chatbot</t>
        </is>
      </c>
      <c r="F65" s="40" t="inlineStr">
        <is>
          <t>Sí</t>
        </is>
      </c>
      <c r="G65" s="40" t="inlineStr">
        <is>
          <t>No</t>
        </is>
      </c>
      <c r="H65" s="54" t="n">
        <v>1.3</v>
      </c>
      <c r="I65" s="67">
        <f>IF(B65="","",IF(OR(D65="",F65="",G65=""),"Faltan datos",IF(AND(C65&lt;&gt;"",COUNTIF(Pacientes!$A$2:$A$46,C65)=0),"Código no registrado",IF(AND(F65="Sí",G65="Sí"),"Contradicción: resuelta y derivada","OK"))))</f>
        <v/>
      </c>
    </row>
    <row r="66" ht="15" customHeight="1" s="27">
      <c r="A66" s="39">
        <f>IF(B66="","",ROW()-2)</f>
        <v/>
      </c>
      <c r="B66" s="50" t="n">
        <v>46281</v>
      </c>
      <c r="C66" s="40" t="inlineStr">
        <is>
          <t>SIM-01</t>
        </is>
      </c>
      <c r="D66" s="40" t="inlineStr">
        <is>
          <t>Información institucional</t>
        </is>
      </c>
      <c r="E66" s="53" t="inlineStr">
        <is>
          <t>Chatbot</t>
        </is>
      </c>
      <c r="F66" s="40" t="inlineStr">
        <is>
          <t>No</t>
        </is>
      </c>
      <c r="G66" s="40" t="inlineStr">
        <is>
          <t>Sí</t>
        </is>
      </c>
      <c r="H66" s="54" t="n">
        <v>0.7</v>
      </c>
      <c r="I66" s="67">
        <f>IF(B66="","",IF(OR(D66="",F66="",G66=""),"Faltan datos",IF(AND(C66&lt;&gt;"",COUNTIF(Pacientes!$A$2:$A$46,C66)=0),"Código no registrado",IF(AND(F66="Sí",G66="Sí"),"Contradicción: resuelta y derivada","OK"))))</f>
        <v/>
      </c>
    </row>
    <row r="67" ht="15" customHeight="1" s="27">
      <c r="A67" s="39">
        <f>IF(B67="","",ROW()-2)</f>
        <v/>
      </c>
      <c r="B67" s="50" t="n">
        <v>46281</v>
      </c>
      <c r="C67" s="40" t="inlineStr">
        <is>
          <t>SIM-12</t>
        </is>
      </c>
      <c r="D67" s="40" t="inlineStr">
        <is>
          <t>Información institucional</t>
        </is>
      </c>
      <c r="E67" s="53" t="inlineStr">
        <is>
          <t>Chatbot</t>
        </is>
      </c>
      <c r="F67" s="40" t="inlineStr">
        <is>
          <t>Sí</t>
        </is>
      </c>
      <c r="G67" s="40" t="inlineStr">
        <is>
          <t>No</t>
        </is>
      </c>
      <c r="H67" s="54" t="n">
        <v>1.7</v>
      </c>
      <c r="I67" s="67">
        <f>IF(B67="","",IF(OR(D67="",F67="",G67=""),"Faltan datos",IF(AND(C67&lt;&gt;"",COUNTIF(Pacientes!$A$2:$A$46,C67)=0),"Código no registrado",IF(AND(F67="Sí",G67="Sí"),"Contradicción: resuelta y derivada","OK"))))</f>
        <v/>
      </c>
    </row>
    <row r="68" ht="15" customHeight="1" s="27">
      <c r="A68" s="39">
        <f>IF(B68="","",ROW()-2)</f>
        <v/>
      </c>
      <c r="B68" s="50" t="n">
        <v>46281</v>
      </c>
      <c r="C68" s="40" t="n"/>
      <c r="D68" s="40" t="inlineStr">
        <is>
          <t>Información institucional</t>
        </is>
      </c>
      <c r="E68" s="53" t="inlineStr">
        <is>
          <t>Chatbot</t>
        </is>
      </c>
      <c r="F68" s="40" t="inlineStr">
        <is>
          <t>Sí</t>
        </is>
      </c>
      <c r="G68" s="40" t="inlineStr">
        <is>
          <t>No</t>
        </is>
      </c>
      <c r="H68" s="54" t="n">
        <v>0.7</v>
      </c>
      <c r="I68" s="67">
        <f>IF(B68="","",IF(OR(D68="",F68="",G68=""),"Faltan datos",IF(AND(C68&lt;&gt;"",COUNTIF(Pacientes!$A$2:$A$46,C68)=0),"Código no registrado",IF(AND(F68="Sí",G68="Sí"),"Contradicción: resuelta y derivada","OK"))))</f>
        <v/>
      </c>
    </row>
    <row r="69" ht="15" customHeight="1" s="27">
      <c r="A69" s="39">
        <f>IF(B69="","",ROW()-2)</f>
        <v/>
      </c>
      <c r="B69" s="50" t="n">
        <v>46281</v>
      </c>
      <c r="C69" s="40" t="inlineStr">
        <is>
          <t>SIM-08</t>
        </is>
      </c>
      <c r="D69" s="40" t="inlineStr">
        <is>
          <t>Seguimiento administrativo</t>
        </is>
      </c>
      <c r="E69" s="53" t="inlineStr">
        <is>
          <t>Chatbot</t>
        </is>
      </c>
      <c r="F69" s="40" t="inlineStr">
        <is>
          <t>Sí</t>
        </is>
      </c>
      <c r="G69" s="40" t="inlineStr">
        <is>
          <t>No</t>
        </is>
      </c>
      <c r="H69" s="54" t="n">
        <v>1.6</v>
      </c>
      <c r="I69" s="67">
        <f>IF(B69="","",IF(OR(D69="",F69="",G69=""),"Faltan datos",IF(AND(C69&lt;&gt;"",COUNTIF(Pacientes!$A$2:$A$46,C69)=0),"Código no registrado",IF(AND(F69="Sí",G69="Sí"),"Contradicción: resuelta y derivada","OK"))))</f>
        <v/>
      </c>
    </row>
    <row r="70" ht="15" customHeight="1" s="27">
      <c r="A70" s="39">
        <f>IF(B70="","",ROW()-2)</f>
        <v/>
      </c>
      <c r="B70" s="50" t="n">
        <v>46281</v>
      </c>
      <c r="C70" s="40" t="inlineStr">
        <is>
          <t>SIM-04</t>
        </is>
      </c>
      <c r="D70" s="40" t="inlineStr">
        <is>
          <t>Información institucional</t>
        </is>
      </c>
      <c r="E70" s="53" t="inlineStr">
        <is>
          <t>Chatbot</t>
        </is>
      </c>
      <c r="F70" s="40" t="inlineStr">
        <is>
          <t>Sí</t>
        </is>
      </c>
      <c r="G70" s="40" t="inlineStr">
        <is>
          <t>No</t>
        </is>
      </c>
      <c r="H70" s="54" t="n">
        <v>0.9</v>
      </c>
      <c r="I70" s="67">
        <f>IF(B70="","",IF(OR(D70="",F70="",G70=""),"Faltan datos",IF(AND(C70&lt;&gt;"",COUNTIF(Pacientes!$A$2:$A$46,C70)=0),"Código no registrado",IF(AND(F70="Sí",G70="Sí"),"Contradicción: resuelta y derivada","OK"))))</f>
        <v/>
      </c>
    </row>
    <row r="71" ht="15" customHeight="1" s="27">
      <c r="A71" s="39">
        <f>IF(B71="","",ROW()-2)</f>
        <v/>
      </c>
      <c r="B71" s="50" t="n">
        <v>46281</v>
      </c>
      <c r="C71" s="40" t="inlineStr">
        <is>
          <t>SIM-26</t>
        </is>
      </c>
      <c r="D71" s="40" t="inlineStr">
        <is>
          <t>Seguimiento administrativo</t>
        </is>
      </c>
      <c r="E71" s="53" t="inlineStr">
        <is>
          <t>Chatbot</t>
        </is>
      </c>
      <c r="F71" s="40" t="inlineStr">
        <is>
          <t>Sí</t>
        </is>
      </c>
      <c r="G71" s="40" t="inlineStr">
        <is>
          <t>No</t>
        </is>
      </c>
      <c r="H71" s="54" t="n">
        <v>0.8</v>
      </c>
      <c r="I71" s="67">
        <f>IF(B71="","",IF(OR(D71="",F71="",G71=""),"Faltan datos",IF(AND(C71&lt;&gt;"",COUNTIF(Pacientes!$A$2:$A$46,C71)=0),"Código no registrado",IF(AND(F71="Sí",G71="Sí"),"Contradicción: resuelta y derivada","OK"))))</f>
        <v/>
      </c>
    </row>
    <row r="72" ht="15" customHeight="1" s="27">
      <c r="A72" s="39">
        <f>IF(B72="","",ROW()-2)</f>
        <v/>
      </c>
      <c r="B72" s="50" t="n">
        <v>46281</v>
      </c>
      <c r="C72" s="40" t="inlineStr">
        <is>
          <t>SIM-19</t>
        </is>
      </c>
      <c r="D72" s="40" t="inlineStr">
        <is>
          <t>Seguimiento administrativo</t>
        </is>
      </c>
      <c r="E72" s="53" t="inlineStr">
        <is>
          <t>Chatbot</t>
        </is>
      </c>
      <c r="F72" s="40" t="inlineStr">
        <is>
          <t>No</t>
        </is>
      </c>
      <c r="G72" s="40" t="inlineStr">
        <is>
          <t>Sí</t>
        </is>
      </c>
      <c r="H72" s="54" t="n">
        <v>0.5</v>
      </c>
      <c r="I72" s="67">
        <f>IF(B72="","",IF(OR(D72="",F72="",G72=""),"Faltan datos",IF(AND(C72&lt;&gt;"",COUNTIF(Pacientes!$A$2:$A$46,C72)=0),"Código no registrado",IF(AND(F72="Sí",G72="Sí"),"Contradicción: resuelta y derivada","OK"))))</f>
        <v/>
      </c>
    </row>
    <row r="73" ht="15" customHeight="1" s="27">
      <c r="A73" s="39">
        <f>IF(B73="","",ROW()-2)</f>
        <v/>
      </c>
      <c r="B73" s="50" t="n">
        <v>46281</v>
      </c>
      <c r="C73" s="40" t="inlineStr">
        <is>
          <t>SIM-08</t>
        </is>
      </c>
      <c r="D73" s="40" t="inlineStr">
        <is>
          <t>Citas</t>
        </is>
      </c>
      <c r="E73" s="53" t="inlineStr">
        <is>
          <t>Chatbot</t>
        </is>
      </c>
      <c r="F73" s="40" t="inlineStr">
        <is>
          <t>Sí</t>
        </is>
      </c>
      <c r="G73" s="40" t="inlineStr">
        <is>
          <t>No</t>
        </is>
      </c>
      <c r="H73" s="54" t="n">
        <v>1.8</v>
      </c>
      <c r="I73" s="67">
        <f>IF(B73="","",IF(OR(D73="",F73="",G73=""),"Faltan datos",IF(AND(C73&lt;&gt;"",COUNTIF(Pacientes!$A$2:$A$46,C73)=0),"Código no registrado",IF(AND(F73="Sí",G73="Sí"),"Contradicción: resuelta y derivada","OK"))))</f>
        <v/>
      </c>
    </row>
    <row r="74" ht="15" customHeight="1" s="27">
      <c r="A74" s="39">
        <f>IF(B74="","",ROW()-2)</f>
        <v/>
      </c>
      <c r="B74" s="50" t="n">
        <v>46281</v>
      </c>
      <c r="C74" s="40" t="inlineStr">
        <is>
          <t>SIM-21</t>
        </is>
      </c>
      <c r="D74" s="40" t="inlineStr">
        <is>
          <t>Horarios</t>
        </is>
      </c>
      <c r="E74" s="53" t="inlineStr">
        <is>
          <t>Chatbot</t>
        </is>
      </c>
      <c r="F74" s="40" t="inlineStr">
        <is>
          <t>Sí</t>
        </is>
      </c>
      <c r="G74" s="40" t="inlineStr">
        <is>
          <t>No</t>
        </is>
      </c>
      <c r="H74" s="54" t="n">
        <v>1.3</v>
      </c>
      <c r="I74" s="67">
        <f>IF(B74="","",IF(OR(D74="",F74="",G74=""),"Faltan datos",IF(AND(C74&lt;&gt;"",COUNTIF(Pacientes!$A$2:$A$46,C74)=0),"Código no registrado",IF(AND(F74="Sí",G74="Sí"),"Contradicción: resuelta y derivada","OK"))))</f>
        <v/>
      </c>
    </row>
    <row r="75" ht="15" customHeight="1" s="27">
      <c r="A75" s="39">
        <f>IF(B75="","",ROW()-2)</f>
        <v/>
      </c>
      <c r="B75" s="50" t="n">
        <v>46281</v>
      </c>
      <c r="C75" s="40" t="inlineStr">
        <is>
          <t>SIM-17</t>
        </is>
      </c>
      <c r="D75" s="40" t="inlineStr">
        <is>
          <t>Requisitos</t>
        </is>
      </c>
      <c r="E75" s="53" t="inlineStr">
        <is>
          <t>Chatbot</t>
        </is>
      </c>
      <c r="F75" s="40" t="inlineStr">
        <is>
          <t>No</t>
        </is>
      </c>
      <c r="G75" s="40" t="inlineStr">
        <is>
          <t>Sí</t>
        </is>
      </c>
      <c r="H75" s="54" t="n">
        <v>0.4</v>
      </c>
      <c r="I75" s="67">
        <f>IF(B75="","",IF(OR(D75="",F75="",G75=""),"Faltan datos",IF(AND(C75&lt;&gt;"",COUNTIF(Pacientes!$A$2:$A$46,C75)=0),"Código no registrado",IF(AND(F75="Sí",G75="Sí"),"Contradicción: resuelta y derivada","OK"))))</f>
        <v/>
      </c>
    </row>
    <row r="76" ht="15" customHeight="1" s="27">
      <c r="A76" s="39">
        <f>IF(B76="","",ROW()-2)</f>
        <v/>
      </c>
      <c r="B76" s="50" t="n">
        <v>46281</v>
      </c>
      <c r="C76" s="40" t="n"/>
      <c r="D76" s="40" t="inlineStr">
        <is>
          <t>Información institucional</t>
        </is>
      </c>
      <c r="E76" s="53" t="inlineStr">
        <is>
          <t>Chatbot</t>
        </is>
      </c>
      <c r="F76" s="40" t="inlineStr">
        <is>
          <t>Sí</t>
        </is>
      </c>
      <c r="G76" s="40" t="inlineStr">
        <is>
          <t>No</t>
        </is>
      </c>
      <c r="H76" s="54" t="n">
        <v>1.1</v>
      </c>
      <c r="I76" s="67">
        <f>IF(B76="","",IF(OR(D76="",F76="",G76=""),"Faltan datos",IF(AND(C76&lt;&gt;"",COUNTIF(Pacientes!$A$2:$A$46,C76)=0),"Código no registrado",IF(AND(F76="Sí",G76="Sí"),"Contradicción: resuelta y derivada","OK"))))</f>
        <v/>
      </c>
    </row>
    <row r="77" ht="15" customHeight="1" s="27">
      <c r="A77" s="39">
        <f>IF(B77="","",ROW()-2)</f>
        <v/>
      </c>
      <c r="B77" s="50" t="n">
        <v>46283</v>
      </c>
      <c r="C77" s="40" t="inlineStr">
        <is>
          <t>SIM-13</t>
        </is>
      </c>
      <c r="D77" s="40" t="inlineStr">
        <is>
          <t>Otro</t>
        </is>
      </c>
      <c r="E77" s="53" t="inlineStr">
        <is>
          <t>Chatbot</t>
        </is>
      </c>
      <c r="F77" s="40" t="inlineStr">
        <is>
          <t>Sí</t>
        </is>
      </c>
      <c r="G77" s="40" t="inlineStr">
        <is>
          <t>No</t>
        </is>
      </c>
      <c r="H77" s="54" t="n">
        <v>1.5</v>
      </c>
      <c r="I77" s="67">
        <f>IF(B77="","",IF(OR(D77="",F77="",G77=""),"Faltan datos",IF(AND(C77&lt;&gt;"",COUNTIF(Pacientes!$A$2:$A$46,C77)=0),"Código no registrado",IF(AND(F77="Sí",G77="Sí"),"Contradicción: resuelta y derivada","OK"))))</f>
        <v/>
      </c>
    </row>
    <row r="78" ht="15" customHeight="1" s="27">
      <c r="A78" s="39">
        <f>IF(B78="","",ROW()-2)</f>
        <v/>
      </c>
      <c r="B78" s="50" t="n">
        <v>46283</v>
      </c>
      <c r="C78" s="40" t="inlineStr">
        <is>
          <t>SIM-09</t>
        </is>
      </c>
      <c r="D78" s="40" t="inlineStr">
        <is>
          <t>Citas</t>
        </is>
      </c>
      <c r="E78" s="53" t="inlineStr">
        <is>
          <t>Chatbot</t>
        </is>
      </c>
      <c r="F78" s="40" t="inlineStr">
        <is>
          <t>Sí</t>
        </is>
      </c>
      <c r="G78" s="40" t="inlineStr">
        <is>
          <t>No</t>
        </is>
      </c>
      <c r="H78" s="54" t="n">
        <v>1.2</v>
      </c>
      <c r="I78" s="67">
        <f>IF(B78="","",IF(OR(D78="",F78="",G78=""),"Faltan datos",IF(AND(C78&lt;&gt;"",COUNTIF(Pacientes!$A$2:$A$46,C78)=0),"Código no registrado",IF(AND(F78="Sí",G78="Sí"),"Contradicción: resuelta y derivada","OK"))))</f>
        <v/>
      </c>
    </row>
    <row r="79" ht="15" customHeight="1" s="27">
      <c r="A79" s="39">
        <f>IF(B79="","",ROW()-2)</f>
        <v/>
      </c>
      <c r="B79" s="50" t="n">
        <v>46283</v>
      </c>
      <c r="C79" s="40" t="inlineStr">
        <is>
          <t>SIM-26</t>
        </is>
      </c>
      <c r="D79" s="40" t="inlineStr">
        <is>
          <t>Información institucional</t>
        </is>
      </c>
      <c r="E79" s="53" t="inlineStr">
        <is>
          <t>Chatbot</t>
        </is>
      </c>
      <c r="F79" s="40" t="inlineStr">
        <is>
          <t>Sí</t>
        </is>
      </c>
      <c r="G79" s="40" t="inlineStr">
        <is>
          <t>No</t>
        </is>
      </c>
      <c r="H79" s="54" t="n">
        <v>1.4</v>
      </c>
      <c r="I79" s="67">
        <f>IF(B79="","",IF(OR(D79="",F79="",G79=""),"Faltan datos",IF(AND(C79&lt;&gt;"",COUNTIF(Pacientes!$A$2:$A$46,C79)=0),"Código no registrado",IF(AND(F79="Sí",G79="Sí"),"Contradicción: resuelta y derivada","OK"))))</f>
        <v/>
      </c>
    </row>
    <row r="80" ht="15" customHeight="1" s="27">
      <c r="A80" s="39">
        <f>IF(B80="","",ROW()-2)</f>
        <v/>
      </c>
      <c r="B80" s="50" t="n">
        <v>46283</v>
      </c>
      <c r="C80" s="40" t="inlineStr">
        <is>
          <t>SIM-15</t>
        </is>
      </c>
      <c r="D80" s="40" t="inlineStr">
        <is>
          <t>Horarios</t>
        </is>
      </c>
      <c r="E80" s="53" t="inlineStr">
        <is>
          <t>Chatbot</t>
        </is>
      </c>
      <c r="F80" s="40" t="inlineStr">
        <is>
          <t>Sí</t>
        </is>
      </c>
      <c r="G80" s="40" t="inlineStr">
        <is>
          <t>No</t>
        </is>
      </c>
      <c r="H80" s="54" t="n">
        <v>1.5</v>
      </c>
      <c r="I80" s="67">
        <f>IF(B80="","",IF(OR(D80="",F80="",G80=""),"Faltan datos",IF(AND(C80&lt;&gt;"",COUNTIF(Pacientes!$A$2:$A$46,C80)=0),"Código no registrado",IF(AND(F80="Sí",G80="Sí"),"Contradicción: resuelta y derivada","OK"))))</f>
        <v/>
      </c>
    </row>
    <row r="81" ht="15" customHeight="1" s="27">
      <c r="A81" s="39">
        <f>IF(B81="","",ROW()-2)</f>
        <v/>
      </c>
      <c r="B81" s="50" t="n">
        <v>46283</v>
      </c>
      <c r="C81" s="40" t="inlineStr">
        <is>
          <t>SIM-08</t>
        </is>
      </c>
      <c r="D81" s="40" t="inlineStr">
        <is>
          <t>Información institucional</t>
        </is>
      </c>
      <c r="E81" s="53" t="inlineStr">
        <is>
          <t>Chatbot</t>
        </is>
      </c>
      <c r="F81" s="40" t="inlineStr">
        <is>
          <t>Sí</t>
        </is>
      </c>
      <c r="G81" s="40" t="inlineStr">
        <is>
          <t>No</t>
        </is>
      </c>
      <c r="H81" s="54" t="n">
        <v>1</v>
      </c>
      <c r="I81" s="67">
        <f>IF(B81="","",IF(OR(D81="",F81="",G81=""),"Faltan datos",IF(AND(C81&lt;&gt;"",COUNTIF(Pacientes!$A$2:$A$46,C81)=0),"Código no registrado",IF(AND(F81="Sí",G81="Sí"),"Contradicción: resuelta y derivada","OK"))))</f>
        <v/>
      </c>
    </row>
    <row r="82" ht="15" customHeight="1" s="27">
      <c r="A82" s="39">
        <f>IF(B82="","",ROW()-2)</f>
        <v/>
      </c>
      <c r="B82" s="50" t="n">
        <v>46283</v>
      </c>
      <c r="C82" s="40" t="inlineStr">
        <is>
          <t>SIM-03</t>
        </is>
      </c>
      <c r="D82" s="40" t="inlineStr">
        <is>
          <t>Otro</t>
        </is>
      </c>
      <c r="E82" s="53" t="inlineStr">
        <is>
          <t>Chatbot</t>
        </is>
      </c>
      <c r="F82" s="40" t="inlineStr">
        <is>
          <t>Sí</t>
        </is>
      </c>
      <c r="G82" s="40" t="inlineStr">
        <is>
          <t>No</t>
        </is>
      </c>
      <c r="H82" s="54" t="n">
        <v>1.6</v>
      </c>
      <c r="I82" s="67">
        <f>IF(B82="","",IF(OR(D82="",F82="",G82=""),"Faltan datos",IF(AND(C82&lt;&gt;"",COUNTIF(Pacientes!$A$2:$A$46,C82)=0),"Código no registrado",IF(AND(F82="Sí",G82="Sí"),"Contradicción: resuelta y derivada","OK"))))</f>
        <v/>
      </c>
    </row>
    <row r="83" ht="15" customHeight="1" s="27">
      <c r="A83" s="39">
        <f>IF(B83="","",ROW()-2)</f>
        <v/>
      </c>
      <c r="B83" s="50" t="n">
        <v>46283</v>
      </c>
      <c r="C83" s="40" t="n"/>
      <c r="D83" s="40" t="inlineStr">
        <is>
          <t>Otro</t>
        </is>
      </c>
      <c r="E83" s="53" t="inlineStr">
        <is>
          <t>Chatbot</t>
        </is>
      </c>
      <c r="F83" s="40" t="inlineStr">
        <is>
          <t>Sí</t>
        </is>
      </c>
      <c r="G83" s="40" t="inlineStr">
        <is>
          <t>No</t>
        </is>
      </c>
      <c r="H83" s="54" t="n">
        <v>1.6</v>
      </c>
      <c r="I83" s="67">
        <f>IF(B83="","",IF(OR(D83="",F83="",G83=""),"Faltan datos",IF(AND(C83&lt;&gt;"",COUNTIF(Pacientes!$A$2:$A$46,C83)=0),"Código no registrado",IF(AND(F83="Sí",G83="Sí"),"Contradicción: resuelta y derivada","OK"))))</f>
        <v/>
      </c>
    </row>
    <row r="84" ht="15" customHeight="1" s="27">
      <c r="A84" s="39">
        <f>IF(B84="","",ROW()-2)</f>
        <v/>
      </c>
      <c r="B84" s="50" t="n">
        <v>46283</v>
      </c>
      <c r="C84" s="40" t="inlineStr">
        <is>
          <t>SIM-02</t>
        </is>
      </c>
      <c r="D84" s="40" t="inlineStr">
        <is>
          <t>Horarios</t>
        </is>
      </c>
      <c r="E84" s="53" t="inlineStr">
        <is>
          <t>Chatbot</t>
        </is>
      </c>
      <c r="F84" s="40" t="inlineStr">
        <is>
          <t>Sí</t>
        </is>
      </c>
      <c r="G84" s="40" t="inlineStr">
        <is>
          <t>No</t>
        </is>
      </c>
      <c r="H84" s="54" t="n">
        <v>0.3</v>
      </c>
      <c r="I84" s="67">
        <f>IF(B84="","",IF(OR(D84="",F84="",G84=""),"Faltan datos",IF(AND(C84&lt;&gt;"",COUNTIF(Pacientes!$A$2:$A$46,C84)=0),"Código no registrado",IF(AND(F84="Sí",G84="Sí"),"Contradicción: resuelta y derivada","OK"))))</f>
        <v/>
      </c>
    </row>
    <row r="85" ht="15" customHeight="1" s="27">
      <c r="A85" s="39">
        <f>IF(B85="","",ROW()-2)</f>
        <v/>
      </c>
      <c r="B85" s="50" t="n">
        <v>46283</v>
      </c>
      <c r="C85" s="40" t="n"/>
      <c r="D85" s="40" t="inlineStr">
        <is>
          <t>Otro</t>
        </is>
      </c>
      <c r="E85" s="53" t="inlineStr">
        <is>
          <t>Chatbot</t>
        </is>
      </c>
      <c r="F85" s="40" t="inlineStr">
        <is>
          <t>Sí</t>
        </is>
      </c>
      <c r="G85" s="40" t="inlineStr">
        <is>
          <t>No</t>
        </is>
      </c>
      <c r="H85" s="54" t="n">
        <v>0.9</v>
      </c>
      <c r="I85" s="67">
        <f>IF(B85="","",IF(OR(D85="",F85="",G85=""),"Faltan datos",IF(AND(C85&lt;&gt;"",COUNTIF(Pacientes!$A$2:$A$46,C85)=0),"Código no registrado",IF(AND(F85="Sí",G85="Sí"),"Contradicción: resuelta y derivada","OK"))))</f>
        <v/>
      </c>
    </row>
    <row r="86" ht="15" customHeight="1" s="27">
      <c r="A86" s="39">
        <f>IF(B86="","",ROW()-2)</f>
        <v/>
      </c>
      <c r="B86" s="50" t="n">
        <v>46283</v>
      </c>
      <c r="C86" s="40" t="inlineStr">
        <is>
          <t>SIM-26</t>
        </is>
      </c>
      <c r="D86" s="40" t="inlineStr">
        <is>
          <t>Seguimiento administrativo</t>
        </is>
      </c>
      <c r="E86" s="53" t="inlineStr">
        <is>
          <t>Chatbot</t>
        </is>
      </c>
      <c r="F86" s="40" t="inlineStr">
        <is>
          <t>No</t>
        </is>
      </c>
      <c r="G86" s="40" t="inlineStr">
        <is>
          <t>Sí</t>
        </is>
      </c>
      <c r="H86" s="54" t="n">
        <v>1</v>
      </c>
      <c r="I86" s="67">
        <f>IF(B86="","",IF(OR(D86="",F86="",G86=""),"Faltan datos",IF(AND(C86&lt;&gt;"",COUNTIF(Pacientes!$A$2:$A$46,C86)=0),"Código no registrado",IF(AND(F86="Sí",G86="Sí"),"Contradicción: resuelta y derivada","OK"))))</f>
        <v/>
      </c>
    </row>
    <row r="87" ht="15" customHeight="1" s="27">
      <c r="A87" s="39">
        <f>IF(B87="","",ROW()-2)</f>
        <v/>
      </c>
      <c r="B87" s="50" t="n">
        <v>46283</v>
      </c>
      <c r="C87" s="40" t="inlineStr">
        <is>
          <t>SIM-22</t>
        </is>
      </c>
      <c r="D87" s="40" t="inlineStr">
        <is>
          <t>Horarios</t>
        </is>
      </c>
      <c r="E87" s="53" t="inlineStr">
        <is>
          <t>Chatbot</t>
        </is>
      </c>
      <c r="F87" s="40" t="inlineStr">
        <is>
          <t>Sí</t>
        </is>
      </c>
      <c r="G87" s="40" t="inlineStr">
        <is>
          <t>No</t>
        </is>
      </c>
      <c r="H87" s="54" t="n">
        <v>1.8</v>
      </c>
      <c r="I87" s="67">
        <f>IF(B87="","",IF(OR(D87="",F87="",G87=""),"Faltan datos",IF(AND(C87&lt;&gt;"",COUNTIF(Pacientes!$A$2:$A$46,C87)=0),"Código no registrado",IF(AND(F87="Sí",G87="Sí"),"Contradicción: resuelta y derivada","OK"))))</f>
        <v/>
      </c>
    </row>
    <row r="88" ht="15" customHeight="1" s="27">
      <c r="A88" s="39">
        <f>IF(B88="","",ROW()-2)</f>
        <v/>
      </c>
      <c r="B88" s="50" t="n">
        <v>46283</v>
      </c>
      <c r="C88" s="40" t="inlineStr">
        <is>
          <t>SIM-07</t>
        </is>
      </c>
      <c r="D88" s="40" t="inlineStr">
        <is>
          <t>Seguimiento administrativo</t>
        </is>
      </c>
      <c r="E88" s="53" t="inlineStr">
        <is>
          <t>Chatbot</t>
        </is>
      </c>
      <c r="F88" s="40" t="inlineStr">
        <is>
          <t>No</t>
        </is>
      </c>
      <c r="G88" s="40" t="inlineStr">
        <is>
          <t>Sí</t>
        </is>
      </c>
      <c r="H88" s="54" t="n">
        <v>0.2</v>
      </c>
      <c r="I88" s="67">
        <f>IF(B88="","",IF(OR(D88="",F88="",G88=""),"Faltan datos",IF(AND(C88&lt;&gt;"",COUNTIF(Pacientes!$A$2:$A$46,C88)=0),"Código no registrado",IF(AND(F88="Sí",G88="Sí"),"Contradicción: resuelta y derivada","OK"))))</f>
        <v/>
      </c>
    </row>
    <row r="89" ht="15" customHeight="1" s="27">
      <c r="A89" s="39">
        <f>IF(B89="","",ROW()-2)</f>
        <v/>
      </c>
      <c r="B89" s="50" t="n">
        <v>46283</v>
      </c>
      <c r="C89" s="40" t="inlineStr">
        <is>
          <t>SIM-10</t>
        </is>
      </c>
      <c r="D89" s="40" t="inlineStr">
        <is>
          <t>Otro</t>
        </is>
      </c>
      <c r="E89" s="53" t="inlineStr">
        <is>
          <t>Chatbot</t>
        </is>
      </c>
      <c r="F89" s="40" t="inlineStr">
        <is>
          <t>Sí</t>
        </is>
      </c>
      <c r="G89" s="40" t="inlineStr">
        <is>
          <t>No</t>
        </is>
      </c>
      <c r="H89" s="54" t="n">
        <v>1.1</v>
      </c>
      <c r="I89" s="67">
        <f>IF(B89="","",IF(OR(D89="",F89="",G89=""),"Faltan datos",IF(AND(C89&lt;&gt;"",COUNTIF(Pacientes!$A$2:$A$46,C89)=0),"Código no registrado",IF(AND(F89="Sí",G89="Sí"),"Contradicción: resuelta y derivada","OK"))))</f>
        <v/>
      </c>
    </row>
    <row r="90" ht="15" customHeight="1" s="27">
      <c r="A90" s="39">
        <f>IF(B90="","",ROW()-2)</f>
        <v/>
      </c>
      <c r="B90" s="50" t="n">
        <v>46286</v>
      </c>
      <c r="C90" s="40" t="inlineStr">
        <is>
          <t>SIM-06</t>
        </is>
      </c>
      <c r="D90" s="40" t="inlineStr">
        <is>
          <t>Ubicación</t>
        </is>
      </c>
      <c r="E90" s="53" t="inlineStr">
        <is>
          <t>Chatbot</t>
        </is>
      </c>
      <c r="F90" s="40" t="inlineStr">
        <is>
          <t>Sí</t>
        </is>
      </c>
      <c r="G90" s="40" t="inlineStr">
        <is>
          <t>No</t>
        </is>
      </c>
      <c r="H90" s="54" t="n">
        <v>0.6</v>
      </c>
      <c r="I90" s="67">
        <f>IF(B90="","",IF(OR(D90="",F90="",G90=""),"Faltan datos",IF(AND(C90&lt;&gt;"",COUNTIF(Pacientes!$A$2:$A$46,C90)=0),"Código no registrado",IF(AND(F90="Sí",G90="Sí"),"Contradicción: resuelta y derivada","OK"))))</f>
        <v/>
      </c>
    </row>
    <row r="91" ht="15" customHeight="1" s="27">
      <c r="A91" s="39">
        <f>IF(B91="","",ROW()-2)</f>
        <v/>
      </c>
      <c r="B91" s="50" t="n">
        <v>46286</v>
      </c>
      <c r="C91" s="40" t="n"/>
      <c r="D91" s="40" t="inlineStr">
        <is>
          <t>Ubicación</t>
        </is>
      </c>
      <c r="E91" s="53" t="inlineStr">
        <is>
          <t>Chatbot</t>
        </is>
      </c>
      <c r="F91" s="40" t="inlineStr">
        <is>
          <t>Sí</t>
        </is>
      </c>
      <c r="G91" s="40" t="inlineStr">
        <is>
          <t>No</t>
        </is>
      </c>
      <c r="H91" s="54" t="n">
        <v>1.3</v>
      </c>
      <c r="I91" s="67">
        <f>IF(B91="","",IF(OR(D91="",F91="",G91=""),"Faltan datos",IF(AND(C91&lt;&gt;"",COUNTIF(Pacientes!$A$2:$A$46,C91)=0),"Código no registrado",IF(AND(F91="Sí",G91="Sí"),"Contradicción: resuelta y derivada","OK"))))</f>
        <v/>
      </c>
    </row>
    <row r="92" ht="15" customHeight="1" s="27">
      <c r="A92" s="39">
        <f>IF(B92="","",ROW()-2)</f>
        <v/>
      </c>
      <c r="B92" s="50" t="n">
        <v>46286</v>
      </c>
      <c r="C92" s="40" t="inlineStr">
        <is>
          <t>SIM-25</t>
        </is>
      </c>
      <c r="D92" s="40" t="inlineStr">
        <is>
          <t>Horarios</t>
        </is>
      </c>
      <c r="E92" s="53" t="inlineStr">
        <is>
          <t>Chatbot</t>
        </is>
      </c>
      <c r="F92" s="40" t="inlineStr">
        <is>
          <t>Sí</t>
        </is>
      </c>
      <c r="G92" s="40" t="inlineStr">
        <is>
          <t>No</t>
        </is>
      </c>
      <c r="H92" s="54" t="n">
        <v>1.1</v>
      </c>
      <c r="I92" s="67">
        <f>IF(B92="","",IF(OR(D92="",F92="",G92=""),"Faltan datos",IF(AND(C92&lt;&gt;"",COUNTIF(Pacientes!$A$2:$A$46,C92)=0),"Código no registrado",IF(AND(F92="Sí",G92="Sí"),"Contradicción: resuelta y derivada","OK"))))</f>
        <v/>
      </c>
    </row>
    <row r="93" ht="15" customHeight="1" s="27">
      <c r="A93" s="39">
        <f>IF(B93="","",ROW()-2)</f>
        <v/>
      </c>
      <c r="B93" s="50" t="n">
        <v>46286</v>
      </c>
      <c r="C93" s="40" t="inlineStr">
        <is>
          <t>SIM-02</t>
        </is>
      </c>
      <c r="D93" s="40" t="inlineStr">
        <is>
          <t>Seguimiento administrativo</t>
        </is>
      </c>
      <c r="E93" s="53" t="inlineStr">
        <is>
          <t>Chatbot</t>
        </is>
      </c>
      <c r="F93" s="40" t="inlineStr">
        <is>
          <t>Sí</t>
        </is>
      </c>
      <c r="G93" s="40" t="inlineStr">
        <is>
          <t>No</t>
        </is>
      </c>
      <c r="H93" s="54" t="n">
        <v>1.2</v>
      </c>
      <c r="I93" s="67">
        <f>IF(B93="","",IF(OR(D93="",F93="",G93=""),"Faltan datos",IF(AND(C93&lt;&gt;"",COUNTIF(Pacientes!$A$2:$A$46,C93)=0),"Código no registrado",IF(AND(F93="Sí",G93="Sí"),"Contradicción: resuelta y derivada","OK"))))</f>
        <v/>
      </c>
    </row>
    <row r="94" ht="15" customHeight="1" s="27">
      <c r="A94" s="39">
        <f>IF(B94="","",ROW()-2)</f>
        <v/>
      </c>
      <c r="B94" s="50" t="n">
        <v>46286</v>
      </c>
      <c r="C94" s="40" t="inlineStr">
        <is>
          <t>SIM-27</t>
        </is>
      </c>
      <c r="D94" s="40" t="inlineStr">
        <is>
          <t>Horarios</t>
        </is>
      </c>
      <c r="E94" s="53" t="inlineStr">
        <is>
          <t>Chatbot</t>
        </is>
      </c>
      <c r="F94" s="40" t="inlineStr">
        <is>
          <t>Sí</t>
        </is>
      </c>
      <c r="G94" s="40" t="inlineStr">
        <is>
          <t>No</t>
        </is>
      </c>
      <c r="H94" s="54" t="n">
        <v>1.3</v>
      </c>
      <c r="I94" s="67">
        <f>IF(B94="","",IF(OR(D94="",F94="",G94=""),"Faltan datos",IF(AND(C94&lt;&gt;"",COUNTIF(Pacientes!$A$2:$A$46,C94)=0),"Código no registrado",IF(AND(F94="Sí",G94="Sí"),"Contradicción: resuelta y derivada","OK"))))</f>
        <v/>
      </c>
    </row>
    <row r="95" ht="15" customHeight="1" s="27">
      <c r="A95" s="39">
        <f>IF(B95="","",ROW()-2)</f>
        <v/>
      </c>
      <c r="B95" s="50" t="n">
        <v>46286</v>
      </c>
      <c r="C95" s="40" t="inlineStr">
        <is>
          <t>SIM-24</t>
        </is>
      </c>
      <c r="D95" s="40" t="inlineStr">
        <is>
          <t>Seguimiento administrativo</t>
        </is>
      </c>
      <c r="E95" s="53" t="inlineStr">
        <is>
          <t>Chatbot</t>
        </is>
      </c>
      <c r="F95" s="40" t="inlineStr">
        <is>
          <t>Sí</t>
        </is>
      </c>
      <c r="G95" s="40" t="inlineStr">
        <is>
          <t>No</t>
        </is>
      </c>
      <c r="H95" s="54" t="n">
        <v>1.9</v>
      </c>
      <c r="I95" s="67">
        <f>IF(B95="","",IF(OR(D95="",F95="",G95=""),"Faltan datos",IF(AND(C95&lt;&gt;"",COUNTIF(Pacientes!$A$2:$A$46,C95)=0),"Código no registrado",IF(AND(F95="Sí",G95="Sí"),"Contradicción: resuelta y derivada","OK"))))</f>
        <v/>
      </c>
    </row>
    <row r="96" ht="15" customHeight="1" s="27">
      <c r="A96" s="39">
        <f>IF(B96="","",ROW()-2)</f>
        <v/>
      </c>
      <c r="B96" s="50" t="n">
        <v>46286</v>
      </c>
      <c r="C96" s="40" t="n"/>
      <c r="D96" s="40" t="inlineStr">
        <is>
          <t>Otro</t>
        </is>
      </c>
      <c r="E96" s="53" t="inlineStr">
        <is>
          <t>Chatbot</t>
        </is>
      </c>
      <c r="F96" s="40" t="inlineStr">
        <is>
          <t>Sí</t>
        </is>
      </c>
      <c r="G96" s="40" t="inlineStr">
        <is>
          <t>No</t>
        </is>
      </c>
      <c r="H96" s="54" t="n">
        <v>0.7</v>
      </c>
      <c r="I96" s="67">
        <f>IF(B96="","",IF(OR(D96="",F96="",G96=""),"Faltan datos",IF(AND(C96&lt;&gt;"",COUNTIF(Pacientes!$A$2:$A$46,C96)=0),"Código no registrado",IF(AND(F96="Sí",G96="Sí"),"Contradicción: resuelta y derivada","OK"))))</f>
        <v/>
      </c>
    </row>
    <row r="97" ht="15" customHeight="1" s="27">
      <c r="A97" s="39">
        <f>IF(B97="","",ROW()-2)</f>
        <v/>
      </c>
      <c r="B97" s="50" t="n">
        <v>46286</v>
      </c>
      <c r="C97" s="40" t="inlineStr">
        <is>
          <t>SIM-18</t>
        </is>
      </c>
      <c r="D97" s="40" t="inlineStr">
        <is>
          <t>Horarios</t>
        </is>
      </c>
      <c r="E97" s="53" t="inlineStr">
        <is>
          <t>Chatbot</t>
        </is>
      </c>
      <c r="F97" s="40" t="inlineStr">
        <is>
          <t>No</t>
        </is>
      </c>
      <c r="G97" s="40" t="inlineStr">
        <is>
          <t>No</t>
        </is>
      </c>
      <c r="H97" s="54" t="n">
        <v>1.9</v>
      </c>
      <c r="I97" s="67">
        <f>IF(B97="","",IF(OR(D97="",F97="",G97=""),"Faltan datos",IF(AND(C97&lt;&gt;"",COUNTIF(Pacientes!$A$2:$A$46,C97)=0),"Código no registrado",IF(AND(F97="Sí",G97="Sí"),"Contradicción: resuelta y derivada","OK"))))</f>
        <v/>
      </c>
    </row>
    <row r="98" ht="15" customHeight="1" s="27">
      <c r="A98" s="39">
        <f>IF(B98="","",ROW()-2)</f>
        <v/>
      </c>
      <c r="B98" s="50" t="n">
        <v>46286</v>
      </c>
      <c r="C98" s="40" t="inlineStr">
        <is>
          <t>SIM-30</t>
        </is>
      </c>
      <c r="D98" s="40" t="inlineStr">
        <is>
          <t>Seguimiento administrativo</t>
        </is>
      </c>
      <c r="E98" s="53" t="inlineStr">
        <is>
          <t>Chatbot</t>
        </is>
      </c>
      <c r="F98" s="40" t="inlineStr">
        <is>
          <t>Sí</t>
        </is>
      </c>
      <c r="G98" s="40" t="inlineStr">
        <is>
          <t>No</t>
        </is>
      </c>
      <c r="H98" s="54" t="n">
        <v>1.1</v>
      </c>
      <c r="I98" s="67">
        <f>IF(B98="","",IF(OR(D98="",F98="",G98=""),"Faltan datos",IF(AND(C98&lt;&gt;"",COUNTIF(Pacientes!$A$2:$A$46,C98)=0),"Código no registrado",IF(AND(F98="Sí",G98="Sí"),"Contradicción: resuelta y derivada","OK"))))</f>
        <v/>
      </c>
    </row>
    <row r="99" ht="15" customHeight="1" s="27">
      <c r="A99" s="39">
        <f>IF(B99="","",ROW()-2)</f>
        <v/>
      </c>
      <c r="B99" s="50" t="n">
        <v>46286</v>
      </c>
      <c r="C99" s="40" t="inlineStr">
        <is>
          <t>SIM-13</t>
        </is>
      </c>
      <c r="D99" s="40" t="inlineStr">
        <is>
          <t>Información institucional</t>
        </is>
      </c>
      <c r="E99" s="53" t="inlineStr">
        <is>
          <t>Chatbot</t>
        </is>
      </c>
      <c r="F99" s="40" t="inlineStr">
        <is>
          <t>Sí</t>
        </is>
      </c>
      <c r="G99" s="40" t="inlineStr">
        <is>
          <t>No</t>
        </is>
      </c>
      <c r="H99" s="54" t="n">
        <v>1.4</v>
      </c>
      <c r="I99" s="67">
        <f>IF(B99="","",IF(OR(D99="",F99="",G99=""),"Faltan datos",IF(AND(C99&lt;&gt;"",COUNTIF(Pacientes!$A$2:$A$46,C99)=0),"Código no registrado",IF(AND(F99="Sí",G99="Sí"),"Contradicción: resuelta y derivada","OK"))))</f>
        <v/>
      </c>
    </row>
    <row r="100" ht="15" customHeight="1" s="27">
      <c r="A100" s="39">
        <f>IF(B100="","",ROW()-2)</f>
        <v/>
      </c>
      <c r="B100" s="50" t="n">
        <v>46288</v>
      </c>
      <c r="C100" s="40" t="inlineStr">
        <is>
          <t>SIM-19</t>
        </is>
      </c>
      <c r="D100" s="40" t="inlineStr">
        <is>
          <t>Seguimiento administrativo</t>
        </is>
      </c>
      <c r="E100" s="53" t="inlineStr">
        <is>
          <t>Chatbot</t>
        </is>
      </c>
      <c r="F100" s="40" t="inlineStr">
        <is>
          <t>No</t>
        </is>
      </c>
      <c r="G100" s="40" t="inlineStr">
        <is>
          <t>Sí</t>
        </is>
      </c>
      <c r="H100" s="54" t="n">
        <v>0.6</v>
      </c>
      <c r="I100" s="67">
        <f>IF(B100="","",IF(OR(D100="",F100="",G100=""),"Faltan datos",IF(AND(C100&lt;&gt;"",COUNTIF(Pacientes!$A$2:$A$46,C100)=0),"Código no registrado",IF(AND(F100="Sí",G100="Sí"),"Contradicción: resuelta y derivada","OK"))))</f>
        <v/>
      </c>
    </row>
    <row r="101" ht="15" customHeight="1" s="27">
      <c r="A101" s="39">
        <f>IF(B101="","",ROW()-2)</f>
        <v/>
      </c>
      <c r="B101" s="50" t="n">
        <v>46288</v>
      </c>
      <c r="C101" s="40" t="inlineStr">
        <is>
          <t>SIM-04</t>
        </is>
      </c>
      <c r="D101" s="40" t="inlineStr">
        <is>
          <t>Ubicación</t>
        </is>
      </c>
      <c r="E101" s="53" t="inlineStr">
        <is>
          <t>Chatbot</t>
        </is>
      </c>
      <c r="F101" s="40" t="inlineStr">
        <is>
          <t>No</t>
        </is>
      </c>
      <c r="G101" s="40" t="inlineStr">
        <is>
          <t>Sí</t>
        </is>
      </c>
      <c r="H101" s="54" t="n">
        <v>0.7</v>
      </c>
      <c r="I101" s="67">
        <f>IF(B101="","",IF(OR(D101="",F101="",G101=""),"Faltan datos",IF(AND(C101&lt;&gt;"",COUNTIF(Pacientes!$A$2:$A$46,C101)=0),"Código no registrado",IF(AND(F101="Sí",G101="Sí"),"Contradicción: resuelta y derivada","OK"))))</f>
        <v/>
      </c>
    </row>
    <row r="102" ht="15" customHeight="1" s="27">
      <c r="A102" s="39">
        <f>IF(B102="","",ROW()-2)</f>
        <v/>
      </c>
      <c r="B102" s="50" t="n">
        <v>46288</v>
      </c>
      <c r="C102" s="40" t="inlineStr">
        <is>
          <t>SIM-21</t>
        </is>
      </c>
      <c r="D102" s="40" t="inlineStr">
        <is>
          <t>Citas</t>
        </is>
      </c>
      <c r="E102" s="53" t="inlineStr">
        <is>
          <t>Chatbot</t>
        </is>
      </c>
      <c r="F102" s="40" t="inlineStr">
        <is>
          <t>Sí</t>
        </is>
      </c>
      <c r="G102" s="40" t="inlineStr">
        <is>
          <t>No</t>
        </is>
      </c>
      <c r="H102" s="54" t="n">
        <v>1.3</v>
      </c>
      <c r="I102" s="67">
        <f>IF(B102="","",IF(OR(D102="",F102="",G102=""),"Faltan datos",IF(AND(C102&lt;&gt;"",COUNTIF(Pacientes!$A$2:$A$46,C102)=0),"Código no registrado",IF(AND(F102="Sí",G102="Sí"),"Contradicción: resuelta y derivada","OK"))))</f>
        <v/>
      </c>
    </row>
    <row r="103" ht="15" customHeight="1" s="27">
      <c r="A103" s="39">
        <f>IF(B103="","",ROW()-2)</f>
        <v/>
      </c>
      <c r="B103" s="50" t="n">
        <v>46288</v>
      </c>
      <c r="C103" s="40" t="inlineStr">
        <is>
          <t>SIM-01</t>
        </is>
      </c>
      <c r="D103" s="40" t="inlineStr">
        <is>
          <t>Información institucional</t>
        </is>
      </c>
      <c r="E103" s="53" t="inlineStr">
        <is>
          <t>Chatbot</t>
        </is>
      </c>
      <c r="F103" s="40" t="inlineStr">
        <is>
          <t>Sí</t>
        </is>
      </c>
      <c r="G103" s="40" t="inlineStr">
        <is>
          <t>No</t>
        </is>
      </c>
      <c r="H103" s="54" t="n">
        <v>0.3</v>
      </c>
      <c r="I103" s="67">
        <f>IF(B103="","",IF(OR(D103="",F103="",G103=""),"Faltan datos",IF(AND(C103&lt;&gt;"",COUNTIF(Pacientes!$A$2:$A$46,C103)=0),"Código no registrado",IF(AND(F103="Sí",G103="Sí"),"Contradicción: resuelta y derivada","OK"))))</f>
        <v/>
      </c>
    </row>
    <row r="104" ht="15" customHeight="1" s="27">
      <c r="A104" s="39">
        <f>IF(B104="","",ROW()-2)</f>
        <v/>
      </c>
      <c r="B104" s="50" t="n">
        <v>46288</v>
      </c>
      <c r="C104" s="40" t="inlineStr">
        <is>
          <t>SIM-04</t>
        </is>
      </c>
      <c r="D104" s="40" t="inlineStr">
        <is>
          <t>Requisitos</t>
        </is>
      </c>
      <c r="E104" s="53" t="inlineStr">
        <is>
          <t>Chatbot</t>
        </is>
      </c>
      <c r="F104" s="40" t="inlineStr">
        <is>
          <t>Sí</t>
        </is>
      </c>
      <c r="G104" s="40" t="inlineStr">
        <is>
          <t>No</t>
        </is>
      </c>
      <c r="H104" s="54" t="n">
        <v>0.5</v>
      </c>
      <c r="I104" s="67">
        <f>IF(B104="","",IF(OR(D104="",F104="",G104=""),"Faltan datos",IF(AND(C104&lt;&gt;"",COUNTIF(Pacientes!$A$2:$A$46,C104)=0),"Código no registrado",IF(AND(F104="Sí",G104="Sí"),"Contradicción: resuelta y derivada","OK"))))</f>
        <v/>
      </c>
    </row>
    <row r="105" ht="15" customHeight="1" s="27">
      <c r="A105" s="39">
        <f>IF(B105="","",ROW()-2)</f>
        <v/>
      </c>
      <c r="B105" s="50" t="n">
        <v>46288</v>
      </c>
      <c r="C105" s="40" t="inlineStr">
        <is>
          <t>SIM-14</t>
        </is>
      </c>
      <c r="D105" s="40" t="inlineStr">
        <is>
          <t>Requisitos</t>
        </is>
      </c>
      <c r="E105" s="53" t="inlineStr">
        <is>
          <t>Chatbot</t>
        </is>
      </c>
      <c r="F105" s="40" t="inlineStr">
        <is>
          <t>Sí</t>
        </is>
      </c>
      <c r="G105" s="40" t="inlineStr">
        <is>
          <t>No</t>
        </is>
      </c>
      <c r="H105" s="54" t="n">
        <v>1</v>
      </c>
      <c r="I105" s="67">
        <f>IF(B105="","",IF(OR(D105="",F105="",G105=""),"Faltan datos",IF(AND(C105&lt;&gt;"",COUNTIF(Pacientes!$A$2:$A$46,C105)=0),"Código no registrado",IF(AND(F105="Sí",G105="Sí"),"Contradicción: resuelta y derivada","OK"))))</f>
        <v/>
      </c>
    </row>
    <row r="106" ht="15" customHeight="1" s="27">
      <c r="A106" s="39">
        <f>IF(B106="","",ROW()-2)</f>
        <v/>
      </c>
      <c r="B106" s="50" t="n">
        <v>46288</v>
      </c>
      <c r="C106" s="40" t="inlineStr">
        <is>
          <t>SIM-02</t>
        </is>
      </c>
      <c r="D106" s="40" t="inlineStr">
        <is>
          <t>Información institucional</t>
        </is>
      </c>
      <c r="E106" s="53" t="inlineStr">
        <is>
          <t>Chatbot</t>
        </is>
      </c>
      <c r="F106" s="40" t="inlineStr">
        <is>
          <t>Sí</t>
        </is>
      </c>
      <c r="G106" s="40" t="inlineStr">
        <is>
          <t>No</t>
        </is>
      </c>
      <c r="H106" s="54" t="n">
        <v>0.8</v>
      </c>
      <c r="I106" s="67">
        <f>IF(B106="","",IF(OR(D106="",F106="",G106=""),"Faltan datos",IF(AND(C106&lt;&gt;"",COUNTIF(Pacientes!$A$2:$A$46,C106)=0),"Código no registrado",IF(AND(F106="Sí",G106="Sí"),"Contradicción: resuelta y derivada","OK"))))</f>
        <v/>
      </c>
    </row>
    <row r="107" ht="15" customHeight="1" s="27">
      <c r="A107" s="39">
        <f>IF(B107="","",ROW()-2)</f>
        <v/>
      </c>
      <c r="B107" s="50" t="n">
        <v>46288</v>
      </c>
      <c r="C107" s="40" t="inlineStr">
        <is>
          <t>SIM-21</t>
        </is>
      </c>
      <c r="D107" s="40" t="inlineStr">
        <is>
          <t>Ubicación</t>
        </is>
      </c>
      <c r="E107" s="53" t="inlineStr">
        <is>
          <t>Chatbot</t>
        </is>
      </c>
      <c r="F107" s="40" t="inlineStr">
        <is>
          <t>Sí</t>
        </is>
      </c>
      <c r="G107" s="40" t="inlineStr">
        <is>
          <t>No</t>
        </is>
      </c>
      <c r="H107" s="54" t="n">
        <v>1.6</v>
      </c>
      <c r="I107" s="67">
        <f>IF(B107="","",IF(OR(D107="",F107="",G107=""),"Faltan datos",IF(AND(C107&lt;&gt;"",COUNTIF(Pacientes!$A$2:$A$46,C107)=0),"Código no registrado",IF(AND(F107="Sí",G107="Sí"),"Contradicción: resuelta y derivada","OK"))))</f>
        <v/>
      </c>
    </row>
    <row r="108" ht="15" customHeight="1" s="27">
      <c r="A108" s="39">
        <f>IF(B108="","",ROW()-2)</f>
        <v/>
      </c>
      <c r="B108" s="50" t="n">
        <v>46288</v>
      </c>
      <c r="C108" s="40" t="inlineStr">
        <is>
          <t>SIM-08</t>
        </is>
      </c>
      <c r="D108" s="40" t="inlineStr">
        <is>
          <t>Ubicación</t>
        </is>
      </c>
      <c r="E108" s="53" t="inlineStr">
        <is>
          <t>Chatbot</t>
        </is>
      </c>
      <c r="F108" s="40" t="inlineStr">
        <is>
          <t>Sí</t>
        </is>
      </c>
      <c r="G108" s="40" t="inlineStr">
        <is>
          <t>No</t>
        </is>
      </c>
      <c r="H108" s="54" t="n">
        <v>1.3</v>
      </c>
      <c r="I108" s="67">
        <f>IF(B108="","",IF(OR(D108="",F108="",G108=""),"Faltan datos",IF(AND(C108&lt;&gt;"",COUNTIF(Pacientes!$A$2:$A$46,C108)=0),"Código no registrado",IF(AND(F108="Sí",G108="Sí"),"Contradicción: resuelta y derivada","OK"))))</f>
        <v/>
      </c>
    </row>
    <row r="109" ht="15" customHeight="1" s="27">
      <c r="A109" s="39">
        <f>IF(B109="","",ROW()-2)</f>
        <v/>
      </c>
      <c r="B109" s="50" t="n">
        <v>46288</v>
      </c>
      <c r="C109" s="40" t="inlineStr">
        <is>
          <t>SIM-15</t>
        </is>
      </c>
      <c r="D109" s="40" t="inlineStr">
        <is>
          <t>Ubicación</t>
        </is>
      </c>
      <c r="E109" s="53" t="inlineStr">
        <is>
          <t>Chatbot</t>
        </is>
      </c>
      <c r="F109" s="40" t="inlineStr">
        <is>
          <t>Sí</t>
        </is>
      </c>
      <c r="G109" s="40" t="inlineStr">
        <is>
          <t>No</t>
        </is>
      </c>
      <c r="H109" s="54" t="n">
        <v>0.9</v>
      </c>
      <c r="I109" s="67">
        <f>IF(B109="","",IF(OR(D109="",F109="",G109=""),"Faltan datos",IF(AND(C109&lt;&gt;"",COUNTIF(Pacientes!$A$2:$A$46,C109)=0),"Código no registrado",IF(AND(F109="Sí",G109="Sí"),"Contradicción: resuelta y derivada","OK"))))</f>
        <v/>
      </c>
    </row>
    <row r="110" ht="15" customHeight="1" s="27">
      <c r="A110" s="39">
        <f>IF(B110="","",ROW()-2)</f>
        <v/>
      </c>
      <c r="B110" s="50" t="n">
        <v>46288</v>
      </c>
      <c r="C110" s="40" t="inlineStr">
        <is>
          <t>SIM-08</t>
        </is>
      </c>
      <c r="D110" s="40" t="inlineStr">
        <is>
          <t>Requisitos</t>
        </is>
      </c>
      <c r="E110" s="53" t="inlineStr">
        <is>
          <t>Chatbot</t>
        </is>
      </c>
      <c r="F110" s="40" t="inlineStr">
        <is>
          <t>Sí</t>
        </is>
      </c>
      <c r="G110" s="40" t="inlineStr">
        <is>
          <t>No</t>
        </is>
      </c>
      <c r="H110" s="54" t="n">
        <v>1.6</v>
      </c>
      <c r="I110" s="67">
        <f>IF(B110="","",IF(OR(D110="",F110="",G110=""),"Faltan datos",IF(AND(C110&lt;&gt;"",COUNTIF(Pacientes!$A$2:$A$46,C110)=0),"Código no registrado",IF(AND(F110="Sí",G110="Sí"),"Contradicción: resuelta y derivada","OK"))))</f>
        <v/>
      </c>
    </row>
    <row r="111" ht="15" customHeight="1" s="27">
      <c r="A111" s="39">
        <f>IF(B111="","",ROW()-2)</f>
        <v/>
      </c>
      <c r="B111" s="50" t="n">
        <v>46288</v>
      </c>
      <c r="C111" s="40" t="inlineStr">
        <is>
          <t>SIM-09</t>
        </is>
      </c>
      <c r="D111" s="40" t="inlineStr">
        <is>
          <t>Horarios</t>
        </is>
      </c>
      <c r="E111" s="53" t="inlineStr">
        <is>
          <t>Chatbot</t>
        </is>
      </c>
      <c r="F111" s="40" t="inlineStr">
        <is>
          <t>Sí</t>
        </is>
      </c>
      <c r="G111" s="40" t="inlineStr">
        <is>
          <t>No</t>
        </is>
      </c>
      <c r="H111" s="54" t="n">
        <v>1.1</v>
      </c>
      <c r="I111" s="67">
        <f>IF(B111="","",IF(OR(D111="",F111="",G111=""),"Faltan datos",IF(AND(C111&lt;&gt;"",COUNTIF(Pacientes!$A$2:$A$46,C111)=0),"Código no registrado",IF(AND(F111="Sí",G111="Sí"),"Contradicción: resuelta y derivada","OK"))))</f>
        <v/>
      </c>
    </row>
    <row r="112" ht="15" customHeight="1" s="27">
      <c r="A112" s="39">
        <f>IF(B112="","",ROW()-2)</f>
        <v/>
      </c>
      <c r="B112" s="50" t="n">
        <v>46288</v>
      </c>
      <c r="C112" s="40" t="inlineStr">
        <is>
          <t>SIM-11</t>
        </is>
      </c>
      <c r="D112" s="40" t="inlineStr">
        <is>
          <t>Otro</t>
        </is>
      </c>
      <c r="E112" s="53" t="inlineStr">
        <is>
          <t>Chatbot</t>
        </is>
      </c>
      <c r="F112" s="40" t="inlineStr">
        <is>
          <t>Sí</t>
        </is>
      </c>
      <c r="G112" s="40" t="inlineStr">
        <is>
          <t>No</t>
        </is>
      </c>
      <c r="H112" s="54" t="n">
        <v>1.7</v>
      </c>
      <c r="I112" s="67">
        <f>IF(B112="","",IF(OR(D112="",F112="",G112=""),"Faltan datos",IF(AND(C112&lt;&gt;"",COUNTIF(Pacientes!$A$2:$A$46,C112)=0),"Código no registrado",IF(AND(F112="Sí",G112="Sí"),"Contradicción: resuelta y derivada","OK"))))</f>
        <v/>
      </c>
    </row>
    <row r="113" ht="15" customHeight="1" s="27">
      <c r="A113" s="39">
        <f>IF(B113="","",ROW()-2)</f>
        <v/>
      </c>
      <c r="B113" s="50" t="n">
        <v>46288</v>
      </c>
      <c r="C113" s="40" t="inlineStr">
        <is>
          <t>SIM-09</t>
        </is>
      </c>
      <c r="D113" s="40" t="inlineStr">
        <is>
          <t>Seguimiento administrativo</t>
        </is>
      </c>
      <c r="E113" s="53" t="inlineStr">
        <is>
          <t>Chatbot</t>
        </is>
      </c>
      <c r="F113" s="40" t="inlineStr">
        <is>
          <t>No</t>
        </is>
      </c>
      <c r="G113" s="40" t="inlineStr">
        <is>
          <t>Sí</t>
        </is>
      </c>
      <c r="H113" s="54" t="n">
        <v>2</v>
      </c>
      <c r="I113" s="67">
        <f>IF(B113="","",IF(OR(D113="",F113="",G113=""),"Faltan datos",IF(AND(C113&lt;&gt;"",COUNTIF(Pacientes!$A$2:$A$46,C113)=0),"Código no registrado",IF(AND(F113="Sí",G113="Sí"),"Contradicción: resuelta y derivada","OK"))))</f>
        <v/>
      </c>
    </row>
    <row r="114" ht="15" customHeight="1" s="27">
      <c r="A114" s="39">
        <f>IF(B114="","",ROW()-2)</f>
        <v/>
      </c>
      <c r="B114" s="50" t="n">
        <v>46290</v>
      </c>
      <c r="C114" s="40" t="n"/>
      <c r="D114" s="40" t="inlineStr">
        <is>
          <t>Seguimiento administrativo</t>
        </is>
      </c>
      <c r="E114" s="53" t="inlineStr">
        <is>
          <t>Chatbot</t>
        </is>
      </c>
      <c r="F114" s="40" t="inlineStr">
        <is>
          <t>Sí</t>
        </is>
      </c>
      <c r="G114" s="40" t="inlineStr">
        <is>
          <t>No</t>
        </is>
      </c>
      <c r="H114" s="54" t="n">
        <v>1</v>
      </c>
      <c r="I114" s="67">
        <f>IF(B114="","",IF(OR(D114="",F114="",G114=""),"Faltan datos",IF(AND(C114&lt;&gt;"",COUNTIF(Pacientes!$A$2:$A$46,C114)=0),"Código no registrado",IF(AND(F114="Sí",G114="Sí"),"Contradicción: resuelta y derivada","OK"))))</f>
        <v/>
      </c>
    </row>
    <row r="115" ht="15" customHeight="1" s="27">
      <c r="A115" s="39">
        <f>IF(B115="","",ROW()-2)</f>
        <v/>
      </c>
      <c r="B115" s="50" t="n">
        <v>46290</v>
      </c>
      <c r="C115" s="40" t="inlineStr">
        <is>
          <t>SIM-29</t>
        </is>
      </c>
      <c r="D115" s="40" t="inlineStr">
        <is>
          <t>Otro</t>
        </is>
      </c>
      <c r="E115" s="53" t="inlineStr">
        <is>
          <t>Chatbot</t>
        </is>
      </c>
      <c r="F115" s="40" t="inlineStr">
        <is>
          <t>Sí</t>
        </is>
      </c>
      <c r="G115" s="40" t="inlineStr">
        <is>
          <t>No</t>
        </is>
      </c>
      <c r="H115" s="54" t="n">
        <v>1.1</v>
      </c>
      <c r="I115" s="67">
        <f>IF(B115="","",IF(OR(D115="",F115="",G115=""),"Faltan datos",IF(AND(C115&lt;&gt;"",COUNTIF(Pacientes!$A$2:$A$46,C115)=0),"Código no registrado",IF(AND(F115="Sí",G115="Sí"),"Contradicción: resuelta y derivada","OK"))))</f>
        <v/>
      </c>
    </row>
    <row r="116" ht="15" customHeight="1" s="27">
      <c r="A116" s="39">
        <f>IF(B116="","",ROW()-2)</f>
        <v/>
      </c>
      <c r="B116" s="50" t="n">
        <v>46290</v>
      </c>
      <c r="C116" s="40" t="inlineStr">
        <is>
          <t>SIM-12</t>
        </is>
      </c>
      <c r="D116" s="40" t="inlineStr">
        <is>
          <t>Citas</t>
        </is>
      </c>
      <c r="E116" s="53" t="inlineStr">
        <is>
          <t>Chatbot</t>
        </is>
      </c>
      <c r="F116" s="40" t="inlineStr">
        <is>
          <t>Sí</t>
        </is>
      </c>
      <c r="G116" s="40" t="inlineStr">
        <is>
          <t>No</t>
        </is>
      </c>
      <c r="H116" s="54" t="n">
        <v>1.3</v>
      </c>
      <c r="I116" s="67">
        <f>IF(B116="","",IF(OR(D116="",F116="",G116=""),"Faltan datos",IF(AND(C116&lt;&gt;"",COUNTIF(Pacientes!$A$2:$A$46,C116)=0),"Código no registrado",IF(AND(F116="Sí",G116="Sí"),"Contradicción: resuelta y derivada","OK"))))</f>
        <v/>
      </c>
    </row>
    <row r="117" ht="15" customHeight="1" s="27">
      <c r="A117" s="39">
        <f>IF(B117="","",ROW()-2)</f>
        <v/>
      </c>
      <c r="B117" s="50" t="n">
        <v>46290</v>
      </c>
      <c r="C117" s="40" t="inlineStr">
        <is>
          <t>SIM-20</t>
        </is>
      </c>
      <c r="D117" s="40" t="inlineStr">
        <is>
          <t>Ubicación</t>
        </is>
      </c>
      <c r="E117" s="53" t="inlineStr">
        <is>
          <t>Chatbot</t>
        </is>
      </c>
      <c r="F117" s="40" t="inlineStr">
        <is>
          <t>Sí</t>
        </is>
      </c>
      <c r="G117" s="40" t="inlineStr">
        <is>
          <t>No</t>
        </is>
      </c>
      <c r="H117" s="54" t="n">
        <v>1.3</v>
      </c>
      <c r="I117" s="67">
        <f>IF(B117="","",IF(OR(D117="",F117="",G117=""),"Faltan datos",IF(AND(C117&lt;&gt;"",COUNTIF(Pacientes!$A$2:$A$46,C117)=0),"Código no registrado",IF(AND(F117="Sí",G117="Sí"),"Contradicción: resuelta y derivada","OK"))))</f>
        <v/>
      </c>
    </row>
    <row r="118" ht="15" customHeight="1" s="27">
      <c r="A118" s="39">
        <f>IF(B118="","",ROW()-2)</f>
        <v/>
      </c>
      <c r="B118" s="50" t="n">
        <v>46290</v>
      </c>
      <c r="C118" s="40" t="inlineStr">
        <is>
          <t>SIM-11</t>
        </is>
      </c>
      <c r="D118" s="40" t="inlineStr">
        <is>
          <t>Seguimiento administrativo</t>
        </is>
      </c>
      <c r="E118" s="53" t="inlineStr">
        <is>
          <t>Chatbot</t>
        </is>
      </c>
      <c r="F118" s="40" t="inlineStr">
        <is>
          <t>Sí</t>
        </is>
      </c>
      <c r="G118" s="40" t="inlineStr">
        <is>
          <t>No</t>
        </is>
      </c>
      <c r="H118" s="54" t="n">
        <v>1.5</v>
      </c>
      <c r="I118" s="67">
        <f>IF(B118="","",IF(OR(D118="",F118="",G118=""),"Faltan datos",IF(AND(C118&lt;&gt;"",COUNTIF(Pacientes!$A$2:$A$46,C118)=0),"Código no registrado",IF(AND(F118="Sí",G118="Sí"),"Contradicción: resuelta y derivada","OK"))))</f>
        <v/>
      </c>
    </row>
    <row r="119" ht="15" customHeight="1" s="27">
      <c r="A119" s="39">
        <f>IF(B119="","",ROW()-2)</f>
        <v/>
      </c>
      <c r="B119" s="50" t="n">
        <v>46290</v>
      </c>
      <c r="C119" s="40" t="inlineStr">
        <is>
          <t>SIM-21</t>
        </is>
      </c>
      <c r="D119" s="40" t="inlineStr">
        <is>
          <t>Información institucional</t>
        </is>
      </c>
      <c r="E119" s="53" t="inlineStr">
        <is>
          <t>Chatbot</t>
        </is>
      </c>
      <c r="F119" s="40" t="inlineStr">
        <is>
          <t>Sí</t>
        </is>
      </c>
      <c r="G119" s="40" t="inlineStr">
        <is>
          <t>No</t>
        </is>
      </c>
      <c r="H119" s="54" t="n">
        <v>1.6</v>
      </c>
      <c r="I119" s="67">
        <f>IF(B119="","",IF(OR(D119="",F119="",G119=""),"Faltan datos",IF(AND(C119&lt;&gt;"",COUNTIF(Pacientes!$A$2:$A$46,C119)=0),"Código no registrado",IF(AND(F119="Sí",G119="Sí"),"Contradicción: resuelta y derivada","OK"))))</f>
        <v/>
      </c>
    </row>
    <row r="120" ht="15" customHeight="1" s="27">
      <c r="A120" s="39">
        <f>IF(B120="","",ROW()-2)</f>
        <v/>
      </c>
      <c r="B120" s="50" t="n">
        <v>46290</v>
      </c>
      <c r="C120" s="40" t="inlineStr">
        <is>
          <t>SIM-04</t>
        </is>
      </c>
      <c r="D120" s="40" t="inlineStr">
        <is>
          <t>Seguimiento administrativo</t>
        </is>
      </c>
      <c r="E120" s="53" t="inlineStr">
        <is>
          <t>Chatbot</t>
        </is>
      </c>
      <c r="F120" s="40" t="inlineStr">
        <is>
          <t>No</t>
        </is>
      </c>
      <c r="G120" s="40" t="inlineStr">
        <is>
          <t>Sí</t>
        </is>
      </c>
      <c r="H120" s="54" t="n">
        <v>1.9</v>
      </c>
      <c r="I120" s="67">
        <f>IF(B120="","",IF(OR(D120="",F120="",G120=""),"Faltan datos",IF(AND(C120&lt;&gt;"",COUNTIF(Pacientes!$A$2:$A$46,C120)=0),"Código no registrado",IF(AND(F120="Sí",G120="Sí"),"Contradicción: resuelta y derivada","OK"))))</f>
        <v/>
      </c>
    </row>
    <row r="121" ht="15" customHeight="1" s="27">
      <c r="A121" s="39">
        <f>IF(B121="","",ROW()-2)</f>
        <v/>
      </c>
      <c r="B121" s="50" t="n">
        <v>46290</v>
      </c>
      <c r="C121" s="40" t="inlineStr">
        <is>
          <t>SIM-04</t>
        </is>
      </c>
      <c r="D121" s="40" t="inlineStr">
        <is>
          <t>Otro</t>
        </is>
      </c>
      <c r="E121" s="53" t="inlineStr">
        <is>
          <t>Chatbot</t>
        </is>
      </c>
      <c r="F121" s="40" t="inlineStr">
        <is>
          <t>Sí</t>
        </is>
      </c>
      <c r="G121" s="40" t="inlineStr">
        <is>
          <t>No</t>
        </is>
      </c>
      <c r="H121" s="54" t="n">
        <v>0.4</v>
      </c>
      <c r="I121" s="67">
        <f>IF(B121="","",IF(OR(D121="",F121="",G121=""),"Faltan datos",IF(AND(C121&lt;&gt;"",COUNTIF(Pacientes!$A$2:$A$46,C121)=0),"Código no registrado",IF(AND(F121="Sí",G121="Sí"),"Contradicción: resuelta y derivada","OK"))))</f>
        <v/>
      </c>
    </row>
    <row r="122" ht="15" customHeight="1" s="27">
      <c r="A122" s="39">
        <f>IF(B122="","",ROW()-2)</f>
        <v/>
      </c>
      <c r="B122" s="50" t="n">
        <v>46290</v>
      </c>
      <c r="C122" s="40" t="inlineStr">
        <is>
          <t>SIM-25</t>
        </is>
      </c>
      <c r="D122" s="40" t="inlineStr">
        <is>
          <t>Información institucional</t>
        </is>
      </c>
      <c r="E122" s="53" t="inlineStr">
        <is>
          <t>Chatbot</t>
        </is>
      </c>
      <c r="F122" s="40" t="inlineStr">
        <is>
          <t>Sí</t>
        </is>
      </c>
      <c r="G122" s="40" t="inlineStr">
        <is>
          <t>No</t>
        </is>
      </c>
      <c r="H122" s="54" t="n">
        <v>1.3</v>
      </c>
      <c r="I122" s="67">
        <f>IF(B122="","",IF(OR(D122="",F122="",G122=""),"Faltan datos",IF(AND(C122&lt;&gt;"",COUNTIF(Pacientes!$A$2:$A$46,C122)=0),"Código no registrado",IF(AND(F122="Sí",G122="Sí"),"Contradicción: resuelta y derivada","OK"))))</f>
        <v/>
      </c>
    </row>
    <row r="123" ht="15" customHeight="1" s="27">
      <c r="A123" s="39">
        <f>IF(B123="","",ROW()-2)</f>
        <v/>
      </c>
      <c r="B123" s="50" t="n">
        <v>46293</v>
      </c>
      <c r="C123" s="40" t="inlineStr">
        <is>
          <t>SIM-14</t>
        </is>
      </c>
      <c r="D123" s="40" t="inlineStr">
        <is>
          <t>Horarios</t>
        </is>
      </c>
      <c r="E123" s="53" t="inlineStr">
        <is>
          <t>Chatbot</t>
        </is>
      </c>
      <c r="F123" s="40" t="inlineStr">
        <is>
          <t>Sí</t>
        </is>
      </c>
      <c r="G123" s="40" t="inlineStr">
        <is>
          <t>No</t>
        </is>
      </c>
      <c r="H123" s="54" t="n">
        <v>1.5</v>
      </c>
      <c r="I123" s="67">
        <f>IF(B123="","",IF(OR(D123="",F123="",G123=""),"Faltan datos",IF(AND(C123&lt;&gt;"",COUNTIF(Pacientes!$A$2:$A$46,C123)=0),"Código no registrado",IF(AND(F123="Sí",G123="Sí"),"Contradicción: resuelta y derivada","OK"))))</f>
        <v/>
      </c>
    </row>
    <row r="124" ht="15" customHeight="1" s="27">
      <c r="A124" s="39">
        <f>IF(B124="","",ROW()-2)</f>
        <v/>
      </c>
      <c r="B124" s="50" t="n">
        <v>46293</v>
      </c>
      <c r="C124" s="40" t="n"/>
      <c r="D124" s="40" t="inlineStr">
        <is>
          <t>Citas</t>
        </is>
      </c>
      <c r="E124" s="53" t="inlineStr">
        <is>
          <t>Chatbot</t>
        </is>
      </c>
      <c r="F124" s="40" t="inlineStr">
        <is>
          <t>No</t>
        </is>
      </c>
      <c r="G124" s="40" t="inlineStr">
        <is>
          <t>Sí</t>
        </is>
      </c>
      <c r="H124" s="54" t="n">
        <v>0.6</v>
      </c>
      <c r="I124" s="67">
        <f>IF(B124="","",IF(OR(D124="",F124="",G124=""),"Faltan datos",IF(AND(C124&lt;&gt;"",COUNTIF(Pacientes!$A$2:$A$46,C124)=0),"Código no registrado",IF(AND(F124="Sí",G124="Sí"),"Contradicción: resuelta y derivada","OK"))))</f>
        <v/>
      </c>
    </row>
    <row r="125" ht="15" customHeight="1" s="27">
      <c r="A125" s="39">
        <f>IF(B125="","",ROW()-2)</f>
        <v/>
      </c>
      <c r="B125" s="50" t="n">
        <v>46293</v>
      </c>
      <c r="C125" s="40" t="inlineStr">
        <is>
          <t>SIM-03</t>
        </is>
      </c>
      <c r="D125" s="40" t="inlineStr">
        <is>
          <t>Requisitos</t>
        </is>
      </c>
      <c r="E125" s="53" t="inlineStr">
        <is>
          <t>Chatbot</t>
        </is>
      </c>
      <c r="F125" s="40" t="inlineStr">
        <is>
          <t>Sí</t>
        </is>
      </c>
      <c r="G125" s="40" t="inlineStr">
        <is>
          <t>No</t>
        </is>
      </c>
      <c r="H125" s="54" t="n">
        <v>1.7</v>
      </c>
      <c r="I125" s="67">
        <f>IF(B125="","",IF(OR(D125="",F125="",G125=""),"Faltan datos",IF(AND(C125&lt;&gt;"",COUNTIF(Pacientes!$A$2:$A$46,C125)=0),"Código no registrado",IF(AND(F125="Sí",G125="Sí"),"Contradicción: resuelta y derivada","OK"))))</f>
        <v/>
      </c>
    </row>
    <row r="126" ht="15" customHeight="1" s="27">
      <c r="A126" s="39">
        <f>IF(B126="","",ROW()-2)</f>
        <v/>
      </c>
      <c r="B126" s="50" t="n">
        <v>46293</v>
      </c>
      <c r="C126" s="40" t="inlineStr">
        <is>
          <t>SIM-21</t>
        </is>
      </c>
      <c r="D126" s="40" t="inlineStr">
        <is>
          <t>Horarios</t>
        </is>
      </c>
      <c r="E126" s="53" t="inlineStr">
        <is>
          <t>Chatbot</t>
        </is>
      </c>
      <c r="F126" s="40" t="inlineStr">
        <is>
          <t>Sí</t>
        </is>
      </c>
      <c r="G126" s="40" t="inlineStr">
        <is>
          <t>No</t>
        </is>
      </c>
      <c r="H126" s="54" t="n">
        <v>1.5</v>
      </c>
      <c r="I126" s="67">
        <f>IF(B126="","",IF(OR(D126="",F126="",G126=""),"Faltan datos",IF(AND(C126&lt;&gt;"",COUNTIF(Pacientes!$A$2:$A$46,C126)=0),"Código no registrado",IF(AND(F126="Sí",G126="Sí"),"Contradicción: resuelta y derivada","OK"))))</f>
        <v/>
      </c>
    </row>
    <row r="127" ht="15" customHeight="1" s="27">
      <c r="A127" s="39">
        <f>IF(B127="","",ROW()-2)</f>
        <v/>
      </c>
      <c r="B127" s="50" t="n">
        <v>46293</v>
      </c>
      <c r="C127" s="40" t="inlineStr">
        <is>
          <t>SIM-28</t>
        </is>
      </c>
      <c r="D127" s="40" t="inlineStr">
        <is>
          <t>Horarios</t>
        </is>
      </c>
      <c r="E127" s="53" t="inlineStr">
        <is>
          <t>Chatbot</t>
        </is>
      </c>
      <c r="F127" s="40" t="inlineStr">
        <is>
          <t>Sí</t>
        </is>
      </c>
      <c r="G127" s="40" t="inlineStr">
        <is>
          <t>No</t>
        </is>
      </c>
      <c r="H127" s="54" t="n">
        <v>1.2</v>
      </c>
      <c r="I127" s="67">
        <f>IF(B127="","",IF(OR(D127="",F127="",G127=""),"Faltan datos",IF(AND(C127&lt;&gt;"",COUNTIF(Pacientes!$A$2:$A$46,C127)=0),"Código no registrado",IF(AND(F127="Sí",G127="Sí"),"Contradicción: resuelta y derivada","OK"))))</f>
        <v/>
      </c>
    </row>
    <row r="128" ht="15" customHeight="1" s="27">
      <c r="A128" s="39">
        <f>IF(B128="","",ROW()-2)</f>
        <v/>
      </c>
      <c r="B128" s="50" t="n">
        <v>46293</v>
      </c>
      <c r="C128" s="40" t="inlineStr">
        <is>
          <t>SIM-15</t>
        </is>
      </c>
      <c r="D128" s="40" t="inlineStr">
        <is>
          <t>Información institucional</t>
        </is>
      </c>
      <c r="E128" s="53" t="inlineStr">
        <is>
          <t>Chatbot</t>
        </is>
      </c>
      <c r="F128" s="40" t="inlineStr">
        <is>
          <t>Sí</t>
        </is>
      </c>
      <c r="G128" s="40" t="inlineStr">
        <is>
          <t>No</t>
        </is>
      </c>
      <c r="H128" s="54" t="n">
        <v>1.3</v>
      </c>
      <c r="I128" s="67">
        <f>IF(B128="","",IF(OR(D128="",F128="",G128=""),"Faltan datos",IF(AND(C128&lt;&gt;"",COUNTIF(Pacientes!$A$2:$A$46,C128)=0),"Código no registrado",IF(AND(F128="Sí",G128="Sí"),"Contradicción: resuelta y derivada","OK"))))</f>
        <v/>
      </c>
    </row>
    <row r="129" ht="15" customHeight="1" s="27">
      <c r="A129" s="39">
        <f>IF(B129="","",ROW()-2)</f>
        <v/>
      </c>
      <c r="B129" s="50" t="n">
        <v>46293</v>
      </c>
      <c r="C129" s="40" t="inlineStr">
        <is>
          <t>SIM-15</t>
        </is>
      </c>
      <c r="D129" s="40" t="inlineStr">
        <is>
          <t>Requisitos</t>
        </is>
      </c>
      <c r="E129" s="53" t="inlineStr">
        <is>
          <t>Chatbot</t>
        </is>
      </c>
      <c r="F129" s="40" t="inlineStr">
        <is>
          <t>Sí</t>
        </is>
      </c>
      <c r="G129" s="40" t="inlineStr">
        <is>
          <t>No</t>
        </is>
      </c>
      <c r="H129" s="54" t="n">
        <v>0.8</v>
      </c>
      <c r="I129" s="67">
        <f>IF(B129="","",IF(OR(D129="",F129="",G129=""),"Faltan datos",IF(AND(C129&lt;&gt;"",COUNTIF(Pacientes!$A$2:$A$46,C129)=0),"Código no registrado",IF(AND(F129="Sí",G129="Sí"),"Contradicción: resuelta y derivada","OK"))))</f>
        <v/>
      </c>
    </row>
    <row r="130" ht="15" customHeight="1" s="27">
      <c r="A130" s="39">
        <f>IF(B130="","",ROW()-2)</f>
        <v/>
      </c>
      <c r="B130" s="50" t="n">
        <v>46293</v>
      </c>
      <c r="C130" s="40" t="inlineStr">
        <is>
          <t>SIM-19</t>
        </is>
      </c>
      <c r="D130" s="40" t="inlineStr">
        <is>
          <t>Ubicación</t>
        </is>
      </c>
      <c r="E130" s="53" t="inlineStr">
        <is>
          <t>Chatbot</t>
        </is>
      </c>
      <c r="F130" s="40" t="inlineStr">
        <is>
          <t>Sí</t>
        </is>
      </c>
      <c r="G130" s="40" t="inlineStr">
        <is>
          <t>No</t>
        </is>
      </c>
      <c r="H130" s="54" t="n">
        <v>1</v>
      </c>
      <c r="I130" s="67">
        <f>IF(B130="","",IF(OR(D130="",F130="",G130=""),"Faltan datos",IF(AND(C130&lt;&gt;"",COUNTIF(Pacientes!$A$2:$A$46,C130)=0),"Código no registrado",IF(AND(F130="Sí",G130="Sí"),"Contradicción: resuelta y derivada","OK"))))</f>
        <v/>
      </c>
    </row>
    <row r="131" ht="15" customHeight="1" s="27">
      <c r="A131" s="39">
        <f>IF(B131="","",ROW()-2)</f>
        <v/>
      </c>
      <c r="B131" s="50" t="n">
        <v>46293</v>
      </c>
      <c r="C131" s="40" t="inlineStr">
        <is>
          <t>SIM-13</t>
        </is>
      </c>
      <c r="D131" s="40" t="inlineStr">
        <is>
          <t>Seguimiento administrativo</t>
        </is>
      </c>
      <c r="E131" s="53" t="inlineStr">
        <is>
          <t>Chatbot</t>
        </is>
      </c>
      <c r="F131" s="40" t="inlineStr">
        <is>
          <t>Sí</t>
        </is>
      </c>
      <c r="G131" s="40" t="inlineStr">
        <is>
          <t>No</t>
        </is>
      </c>
      <c r="H131" s="54" t="n">
        <v>0.7</v>
      </c>
      <c r="I131" s="67">
        <f>IF(B131="","",IF(OR(D131="",F131="",G131=""),"Faltan datos",IF(AND(C131&lt;&gt;"",COUNTIF(Pacientes!$A$2:$A$46,C131)=0),"Código no registrado",IF(AND(F131="Sí",G131="Sí"),"Contradicción: resuelta y derivada","OK"))))</f>
        <v/>
      </c>
    </row>
    <row r="132" ht="15" customHeight="1" s="27">
      <c r="A132" s="39">
        <f>IF(B132="","",ROW()-2)</f>
        <v/>
      </c>
      <c r="B132" s="50" t="n">
        <v>46293</v>
      </c>
      <c r="C132" s="40" t="inlineStr">
        <is>
          <t>SIM-15</t>
        </is>
      </c>
      <c r="D132" s="40" t="inlineStr">
        <is>
          <t>Citas</t>
        </is>
      </c>
      <c r="E132" s="53" t="inlineStr">
        <is>
          <t>Chatbot</t>
        </is>
      </c>
      <c r="F132" s="40" t="inlineStr">
        <is>
          <t>Sí</t>
        </is>
      </c>
      <c r="G132" s="40" t="inlineStr">
        <is>
          <t>No</t>
        </is>
      </c>
      <c r="H132" s="54" t="n">
        <v>1.7</v>
      </c>
      <c r="I132" s="67">
        <f>IF(B132="","",IF(OR(D132="",F132="",G132=""),"Faltan datos",IF(AND(C132&lt;&gt;"",COUNTIF(Pacientes!$A$2:$A$46,C132)=0),"Código no registrado",IF(AND(F132="Sí",G132="Sí"),"Contradicción: resuelta y derivada","OK"))))</f>
        <v/>
      </c>
    </row>
    <row r="133" ht="15" customHeight="1" s="27">
      <c r="A133" s="39">
        <f>IF(B133="","",ROW()-2)</f>
        <v/>
      </c>
      <c r="B133" s="50" t="n">
        <v>46293</v>
      </c>
      <c r="C133" s="40" t="inlineStr">
        <is>
          <t>SIM-16</t>
        </is>
      </c>
      <c r="D133" s="40" t="inlineStr">
        <is>
          <t>Otro</t>
        </is>
      </c>
      <c r="E133" s="53" t="inlineStr">
        <is>
          <t>Chatbot</t>
        </is>
      </c>
      <c r="F133" s="40" t="inlineStr">
        <is>
          <t>Sí</t>
        </is>
      </c>
      <c r="G133" s="40" t="inlineStr">
        <is>
          <t>No</t>
        </is>
      </c>
      <c r="H133" s="54" t="n">
        <v>1.7</v>
      </c>
      <c r="I133" s="67">
        <f>IF(B133="","",IF(OR(D133="",F133="",G133=""),"Faltan datos",IF(AND(C133&lt;&gt;"",COUNTIF(Pacientes!$A$2:$A$46,C133)=0),"Código no registrado",IF(AND(F133="Sí",G133="Sí"),"Contradicción: resuelta y derivada","OK"))))</f>
        <v/>
      </c>
    </row>
    <row r="134" ht="15" customHeight="1" s="27">
      <c r="A134" s="39">
        <f>IF(B134="","",ROW()-2)</f>
        <v/>
      </c>
      <c r="B134" s="50" t="n">
        <v>46293</v>
      </c>
      <c r="C134" s="40" t="inlineStr">
        <is>
          <t>SIM-18</t>
        </is>
      </c>
      <c r="D134" s="40" t="inlineStr">
        <is>
          <t>Horarios</t>
        </is>
      </c>
      <c r="E134" s="53" t="inlineStr">
        <is>
          <t>Chatbot</t>
        </is>
      </c>
      <c r="F134" s="40" t="inlineStr">
        <is>
          <t>Sí</t>
        </is>
      </c>
      <c r="G134" s="40" t="inlineStr">
        <is>
          <t>No</t>
        </is>
      </c>
      <c r="H134" s="54" t="n">
        <v>0.8</v>
      </c>
      <c r="I134" s="67">
        <f>IF(B134="","",IF(OR(D134="",F134="",G134=""),"Faltan datos",IF(AND(C134&lt;&gt;"",COUNTIF(Pacientes!$A$2:$A$46,C134)=0),"Código no registrado",IF(AND(F134="Sí",G134="Sí"),"Contradicción: resuelta y derivada","OK"))))</f>
        <v/>
      </c>
    </row>
    <row r="135" ht="15" customHeight="1" s="27">
      <c r="A135" s="39">
        <f>IF(B135="","",ROW()-2)</f>
        <v/>
      </c>
      <c r="B135" s="50" t="n">
        <v>46295</v>
      </c>
      <c r="C135" s="40" t="inlineStr">
        <is>
          <t>SIM-21</t>
        </is>
      </c>
      <c r="D135" s="40" t="inlineStr">
        <is>
          <t>Horarios</t>
        </is>
      </c>
      <c r="E135" s="53" t="inlineStr">
        <is>
          <t>Chatbot</t>
        </is>
      </c>
      <c r="F135" s="40" t="inlineStr">
        <is>
          <t>Sí</t>
        </is>
      </c>
      <c r="G135" s="40" t="inlineStr">
        <is>
          <t>No</t>
        </is>
      </c>
      <c r="H135" s="54" t="n">
        <v>1.5</v>
      </c>
      <c r="I135" s="67">
        <f>IF(B135="","",IF(OR(D135="",F135="",G135=""),"Faltan datos",IF(AND(C135&lt;&gt;"",COUNTIF(Pacientes!$A$2:$A$46,C135)=0),"Código no registrado",IF(AND(F135="Sí",G135="Sí"),"Contradicción: resuelta y derivada","OK"))))</f>
        <v/>
      </c>
    </row>
    <row r="136" ht="15" customHeight="1" s="27">
      <c r="A136" s="39">
        <f>IF(B136="","",ROW()-2)</f>
        <v/>
      </c>
      <c r="B136" s="50" t="n">
        <v>46295</v>
      </c>
      <c r="C136" s="40" t="inlineStr">
        <is>
          <t>SIM-30</t>
        </is>
      </c>
      <c r="D136" s="40" t="inlineStr">
        <is>
          <t>Citas</t>
        </is>
      </c>
      <c r="E136" s="53" t="inlineStr">
        <is>
          <t>Chatbot</t>
        </is>
      </c>
      <c r="F136" s="40" t="inlineStr">
        <is>
          <t>Sí</t>
        </is>
      </c>
      <c r="G136" s="40" t="inlineStr">
        <is>
          <t>No</t>
        </is>
      </c>
      <c r="H136" s="54" t="n">
        <v>1.3</v>
      </c>
      <c r="I136" s="67">
        <f>IF(B136="","",IF(OR(D136="",F136="",G136=""),"Faltan datos",IF(AND(C136&lt;&gt;"",COUNTIF(Pacientes!$A$2:$A$46,C136)=0),"Código no registrado",IF(AND(F136="Sí",G136="Sí"),"Contradicción: resuelta y derivada","OK"))))</f>
        <v/>
      </c>
    </row>
    <row r="137" ht="15" customHeight="1" s="27">
      <c r="A137" s="39">
        <f>IF(B137="","",ROW()-2)</f>
        <v/>
      </c>
      <c r="B137" s="50" t="n">
        <v>46295</v>
      </c>
      <c r="C137" s="40" t="inlineStr">
        <is>
          <t>SIM-04</t>
        </is>
      </c>
      <c r="D137" s="40" t="inlineStr">
        <is>
          <t>Citas</t>
        </is>
      </c>
      <c r="E137" s="53" t="inlineStr">
        <is>
          <t>Chatbot</t>
        </is>
      </c>
      <c r="F137" s="40" t="inlineStr">
        <is>
          <t>Sí</t>
        </is>
      </c>
      <c r="G137" s="40" t="inlineStr">
        <is>
          <t>No</t>
        </is>
      </c>
      <c r="H137" s="54" t="n">
        <v>1.4</v>
      </c>
      <c r="I137" s="67">
        <f>IF(B137="","",IF(OR(D137="",F137="",G137=""),"Faltan datos",IF(AND(C137&lt;&gt;"",COUNTIF(Pacientes!$A$2:$A$46,C137)=0),"Código no registrado",IF(AND(F137="Sí",G137="Sí"),"Contradicción: resuelta y derivada","OK"))))</f>
        <v/>
      </c>
    </row>
    <row r="138" ht="15" customHeight="1" s="27">
      <c r="A138" s="39">
        <f>IF(B138="","",ROW()-2)</f>
        <v/>
      </c>
      <c r="B138" s="50" t="n">
        <v>46295</v>
      </c>
      <c r="C138" s="40" t="inlineStr">
        <is>
          <t>SIM-01</t>
        </is>
      </c>
      <c r="D138" s="40" t="inlineStr">
        <is>
          <t>Ubicación</t>
        </is>
      </c>
      <c r="E138" s="53" t="inlineStr">
        <is>
          <t>Chatbot</t>
        </is>
      </c>
      <c r="F138" s="40" t="inlineStr">
        <is>
          <t>Sí</t>
        </is>
      </c>
      <c r="G138" s="40" t="inlineStr">
        <is>
          <t>No</t>
        </is>
      </c>
      <c r="H138" s="54" t="n">
        <v>1.5</v>
      </c>
      <c r="I138" s="67">
        <f>IF(B138="","",IF(OR(D138="",F138="",G138=""),"Faltan datos",IF(AND(C138&lt;&gt;"",COUNTIF(Pacientes!$A$2:$A$46,C138)=0),"Código no registrado",IF(AND(F138="Sí",G138="Sí"),"Contradicción: resuelta y derivada","OK"))))</f>
        <v/>
      </c>
    </row>
    <row r="139" ht="15" customHeight="1" s="27">
      <c r="A139" s="39">
        <f>IF(B139="","",ROW()-2)</f>
        <v/>
      </c>
      <c r="B139" s="50" t="n">
        <v>46295</v>
      </c>
      <c r="C139" s="40" t="n"/>
      <c r="D139" s="40" t="inlineStr">
        <is>
          <t>Citas</t>
        </is>
      </c>
      <c r="E139" s="53" t="inlineStr">
        <is>
          <t>Chatbot</t>
        </is>
      </c>
      <c r="F139" s="40" t="inlineStr">
        <is>
          <t>No</t>
        </is>
      </c>
      <c r="G139" s="40" t="inlineStr">
        <is>
          <t>No</t>
        </is>
      </c>
      <c r="H139" s="54" t="n">
        <v>1.8</v>
      </c>
      <c r="I139" s="67">
        <f>IF(B139="","",IF(OR(D139="",F139="",G139=""),"Faltan datos",IF(AND(C139&lt;&gt;"",COUNTIF(Pacientes!$A$2:$A$46,C139)=0),"Código no registrado",IF(AND(F139="Sí",G139="Sí"),"Contradicción: resuelta y derivada","OK"))))</f>
        <v/>
      </c>
    </row>
    <row r="140" ht="15" customHeight="1" s="27">
      <c r="A140" s="39">
        <f>IF(B140="","",ROW()-2)</f>
        <v/>
      </c>
      <c r="B140" s="50" t="n">
        <v>46295</v>
      </c>
      <c r="C140" s="40" t="inlineStr">
        <is>
          <t>SIM-22</t>
        </is>
      </c>
      <c r="D140" s="40" t="inlineStr">
        <is>
          <t>Otro</t>
        </is>
      </c>
      <c r="E140" s="53" t="inlineStr">
        <is>
          <t>Chatbot</t>
        </is>
      </c>
      <c r="F140" s="40" t="inlineStr">
        <is>
          <t>Sí</t>
        </is>
      </c>
      <c r="G140" s="40" t="inlineStr">
        <is>
          <t>No</t>
        </is>
      </c>
      <c r="H140" s="54" t="n">
        <v>0.6</v>
      </c>
      <c r="I140" s="67">
        <f>IF(B140="","",IF(OR(D140="",F140="",G140=""),"Faltan datos",IF(AND(C140&lt;&gt;"",COUNTIF(Pacientes!$A$2:$A$46,C140)=0),"Código no registrado",IF(AND(F140="Sí",G140="Sí"),"Contradicción: resuelta y derivada","OK"))))</f>
        <v/>
      </c>
    </row>
    <row r="141" ht="15" customHeight="1" s="27">
      <c r="A141" s="39">
        <f>IF(B141="","",ROW()-2)</f>
        <v/>
      </c>
      <c r="B141" s="50" t="n">
        <v>46295</v>
      </c>
      <c r="C141" s="40" t="n"/>
      <c r="D141" s="40" t="inlineStr">
        <is>
          <t>Horarios</t>
        </is>
      </c>
      <c r="E141" s="53" t="inlineStr">
        <is>
          <t>Chatbot</t>
        </is>
      </c>
      <c r="F141" s="40" t="inlineStr">
        <is>
          <t>Sí</t>
        </is>
      </c>
      <c r="G141" s="40" t="inlineStr">
        <is>
          <t>No</t>
        </is>
      </c>
      <c r="H141" s="54" t="n">
        <v>0.8</v>
      </c>
      <c r="I141" s="67">
        <f>IF(B141="","",IF(OR(D141="",F141="",G141=""),"Faltan datos",IF(AND(C141&lt;&gt;"",COUNTIF(Pacientes!$A$2:$A$46,C141)=0),"Código no registrado",IF(AND(F141="Sí",G141="Sí"),"Contradicción: resuelta y derivada","OK"))))</f>
        <v/>
      </c>
    </row>
    <row r="142" ht="15" customHeight="1" s="27">
      <c r="A142" s="39">
        <f>IF(B142="","",ROW()-2)</f>
        <v/>
      </c>
      <c r="B142" s="50" t="n">
        <v>46295</v>
      </c>
      <c r="C142" s="40" t="inlineStr">
        <is>
          <t>SIM-30</t>
        </is>
      </c>
      <c r="D142" s="40" t="inlineStr">
        <is>
          <t>Horarios</t>
        </is>
      </c>
      <c r="E142" s="53" t="inlineStr">
        <is>
          <t>Chatbot</t>
        </is>
      </c>
      <c r="F142" s="40" t="inlineStr">
        <is>
          <t>No</t>
        </is>
      </c>
      <c r="G142" s="40" t="inlineStr">
        <is>
          <t>Sí</t>
        </is>
      </c>
      <c r="H142" s="54" t="n">
        <v>1.4</v>
      </c>
      <c r="I142" s="67">
        <f>IF(B142="","",IF(OR(D142="",F142="",G142=""),"Faltan datos",IF(AND(C142&lt;&gt;"",COUNTIF(Pacientes!$A$2:$A$46,C142)=0),"Código no registrado",IF(AND(F142="Sí",G142="Sí"),"Contradicción: resuelta y derivada","OK"))))</f>
        <v/>
      </c>
    </row>
    <row r="143" ht="15" customHeight="1" s="27">
      <c r="A143" s="39">
        <f>IF(B143="","",ROW()-2)</f>
        <v/>
      </c>
      <c r="B143" s="50" t="n">
        <v>46295</v>
      </c>
      <c r="C143" s="40" t="inlineStr">
        <is>
          <t>SIM-02</t>
        </is>
      </c>
      <c r="D143" s="40" t="inlineStr">
        <is>
          <t>Seguimiento administrativo</t>
        </is>
      </c>
      <c r="E143" s="53" t="inlineStr">
        <is>
          <t>Chatbot</t>
        </is>
      </c>
      <c r="F143" s="40" t="inlineStr">
        <is>
          <t>Sí</t>
        </is>
      </c>
      <c r="G143" s="40" t="inlineStr">
        <is>
          <t>No</t>
        </is>
      </c>
      <c r="H143" s="54" t="n">
        <v>0.8</v>
      </c>
      <c r="I143" s="67">
        <f>IF(B143="","",IF(OR(D143="",F143="",G143=""),"Faltan datos",IF(AND(C143&lt;&gt;"",COUNTIF(Pacientes!$A$2:$A$46,C143)=0),"Código no registrado",IF(AND(F143="Sí",G143="Sí"),"Contradicción: resuelta y derivada","OK"))))</f>
        <v/>
      </c>
    </row>
    <row r="144" ht="15" customHeight="1" s="27">
      <c r="A144" s="39">
        <f>IF(B144="","",ROW()-2)</f>
        <v/>
      </c>
      <c r="B144" s="50" t="n">
        <v>46295</v>
      </c>
      <c r="C144" s="40" t="inlineStr">
        <is>
          <t>SIM-14</t>
        </is>
      </c>
      <c r="D144" s="40" t="inlineStr">
        <is>
          <t>Seguimiento administrativo</t>
        </is>
      </c>
      <c r="E144" s="53" t="inlineStr">
        <is>
          <t>Chatbot</t>
        </is>
      </c>
      <c r="F144" s="40" t="inlineStr">
        <is>
          <t>Sí</t>
        </is>
      </c>
      <c r="G144" s="40" t="inlineStr">
        <is>
          <t>No</t>
        </is>
      </c>
      <c r="H144" s="54" t="n">
        <v>0.6</v>
      </c>
      <c r="I144" s="67">
        <f>IF(B144="","",IF(OR(D144="",F144="",G144=""),"Faltan datos",IF(AND(C144&lt;&gt;"",COUNTIF(Pacientes!$A$2:$A$46,C144)=0),"Código no registrado",IF(AND(F144="Sí",G144="Sí"),"Contradicción: resuelta y derivada","OK"))))</f>
        <v/>
      </c>
    </row>
    <row r="145" ht="15" customHeight="1" s="27">
      <c r="A145" s="39">
        <f>IF(B145="","",ROW()-2)</f>
        <v/>
      </c>
      <c r="B145" s="50" t="n">
        <v>46295</v>
      </c>
      <c r="C145" s="40" t="n"/>
      <c r="D145" s="40" t="inlineStr">
        <is>
          <t>Información institucional</t>
        </is>
      </c>
      <c r="E145" s="53" t="inlineStr">
        <is>
          <t>Chatbot</t>
        </is>
      </c>
      <c r="F145" s="40" t="inlineStr">
        <is>
          <t>No</t>
        </is>
      </c>
      <c r="G145" s="40" t="inlineStr">
        <is>
          <t>Sí</t>
        </is>
      </c>
      <c r="H145" s="54" t="n">
        <v>0.5</v>
      </c>
      <c r="I145" s="67">
        <f>IF(B145="","",IF(OR(D145="",F145="",G145=""),"Faltan datos",IF(AND(C145&lt;&gt;"",COUNTIF(Pacientes!$A$2:$A$46,C145)=0),"Código no registrado",IF(AND(F145="Sí",G145="Sí"),"Contradicción: resuelta y derivada","OK"))))</f>
        <v/>
      </c>
    </row>
    <row r="146" ht="15" customHeight="1" s="27">
      <c r="A146" s="39">
        <f>IF(B146="","",ROW()-2)</f>
        <v/>
      </c>
      <c r="B146" s="50" t="n">
        <v>46295</v>
      </c>
      <c r="C146" s="40" t="n"/>
      <c r="D146" s="40" t="inlineStr">
        <is>
          <t>Ubicación</t>
        </is>
      </c>
      <c r="E146" s="53" t="inlineStr">
        <is>
          <t>Chatbot</t>
        </is>
      </c>
      <c r="F146" s="40" t="inlineStr">
        <is>
          <t>No</t>
        </is>
      </c>
      <c r="G146" s="40" t="inlineStr">
        <is>
          <t>No</t>
        </is>
      </c>
      <c r="H146" s="54" t="n">
        <v>1.6</v>
      </c>
      <c r="I146" s="67">
        <f>IF(B146="","",IF(OR(D146="",F146="",G146=""),"Faltan datos",IF(AND(C146&lt;&gt;"",COUNTIF(Pacientes!$A$2:$A$46,C146)=0),"Código no registrado",IF(AND(F146="Sí",G146="Sí"),"Contradicción: resuelta y derivada","OK"))))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53" t="inlineStr">
        <is>
          <t>Chatbot</t>
        </is>
      </c>
      <c r="F147" s="40" t="n"/>
      <c r="G147" s="40" t="n"/>
      <c r="H147" s="54" t="n"/>
      <c r="I147" s="67">
        <f>IF(B147="","",IF(OR(D147="",F147="",G147=""),"Faltan datos",IF(AND(C147&lt;&gt;"",COUNTIF(Pacientes!$A$2:$A$46,C147)=0),"Código no registrado",IF(AND(F147="Sí",G147="Sí"),"Contradicción: resuelta y derivada","OK"))))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53" t="inlineStr">
        <is>
          <t>Chatbot</t>
        </is>
      </c>
      <c r="F148" s="40" t="n"/>
      <c r="G148" s="40" t="n"/>
      <c r="H148" s="54" t="n"/>
      <c r="I148" s="67">
        <f>IF(B148="","",IF(OR(D148="",F148="",G148=""),"Faltan datos",IF(AND(C148&lt;&gt;"",COUNTIF(Pacientes!$A$2:$A$46,C148)=0),"Código no registrado",IF(AND(F148="Sí",G148="Sí"),"Contradicción: resuelta y derivada","OK"))))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53" t="inlineStr">
        <is>
          <t>Chatbot</t>
        </is>
      </c>
      <c r="F149" s="40" t="n"/>
      <c r="G149" s="40" t="n"/>
      <c r="H149" s="54" t="n"/>
      <c r="I149" s="67">
        <f>IF(B149="","",IF(OR(D149="",F149="",G149=""),"Faltan datos",IF(AND(C149&lt;&gt;"",COUNTIF(Pacientes!$A$2:$A$46,C149)=0),"Código no registrado",IF(AND(F149="Sí",G149="Sí"),"Contradicción: resuelta y derivada","OK"))))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53" t="inlineStr">
        <is>
          <t>Chatbot</t>
        </is>
      </c>
      <c r="F150" s="40" t="n"/>
      <c r="G150" s="40" t="n"/>
      <c r="H150" s="54" t="n"/>
      <c r="I150" s="67">
        <f>IF(B150="","",IF(OR(D150="",F150="",G150=""),"Faltan datos",IF(AND(C150&lt;&gt;"",COUNTIF(Pacientes!$A$2:$A$46,C150)=0),"Código no registrado",IF(AND(F150="Sí",G150="Sí"),"Contradicción: resuelta y derivada","OK"))))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53" t="inlineStr">
        <is>
          <t>Chatbot</t>
        </is>
      </c>
      <c r="F151" s="40" t="n"/>
      <c r="G151" s="40" t="n"/>
      <c r="H151" s="54" t="n"/>
      <c r="I151" s="67">
        <f>IF(B151="","",IF(OR(D151="",F151="",G151=""),"Faltan datos",IF(AND(C151&lt;&gt;"",COUNTIF(Pacientes!$A$2:$A$46,C151)=0),"Código no registrado",IF(AND(F151="Sí",G151="Sí"),"Contradicción: resuelta y derivada","OK"))))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53" t="inlineStr">
        <is>
          <t>Chatbot</t>
        </is>
      </c>
      <c r="F152" s="40" t="n"/>
      <c r="G152" s="40" t="n"/>
      <c r="H152" s="54" t="n"/>
      <c r="I152" s="67">
        <f>IF(B152="","",IF(OR(D152="",F152="",G152=""),"Faltan datos",IF(AND(C152&lt;&gt;"",COUNTIF(Pacientes!$A$2:$A$46,C152)=0),"Código no registrado",IF(AND(F152="Sí",G152="Sí"),"Contradicción: resuelta y derivada","OK"))))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53" t="inlineStr">
        <is>
          <t>Chatbot</t>
        </is>
      </c>
      <c r="F153" s="40" t="n"/>
      <c r="G153" s="40" t="n"/>
      <c r="H153" s="54" t="n"/>
      <c r="I153" s="67">
        <f>IF(B153="","",IF(OR(D153="",F153="",G153=""),"Faltan datos",IF(AND(C153&lt;&gt;"",COUNTIF(Pacientes!$A$2:$A$46,C153)=0),"Código no registrado",IF(AND(F153="Sí",G153="Sí"),"Contradicción: resuelta y derivada","OK"))))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53" t="inlineStr">
        <is>
          <t>Chatbot</t>
        </is>
      </c>
      <c r="F154" s="40" t="n"/>
      <c r="G154" s="40" t="n"/>
      <c r="H154" s="54" t="n"/>
      <c r="I154" s="67">
        <f>IF(B154="","",IF(OR(D154="",F154="",G154=""),"Faltan datos",IF(AND(C154&lt;&gt;"",COUNTIF(Pacientes!$A$2:$A$46,C154)=0),"Código no registrado",IF(AND(F154="Sí",G154="Sí"),"Contradicción: resuelta y derivada","OK"))))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53" t="inlineStr">
        <is>
          <t>Chatbot</t>
        </is>
      </c>
      <c r="F155" s="40" t="n"/>
      <c r="G155" s="40" t="n"/>
      <c r="H155" s="54" t="n"/>
      <c r="I155" s="67">
        <f>IF(B155="","",IF(OR(D155="",F155="",G155=""),"Faltan datos",IF(AND(C155&lt;&gt;"",COUNTIF(Pacientes!$A$2:$A$46,C155)=0),"Código no registrado",IF(AND(F155="Sí",G155="Sí"),"Contradicción: resuelta y derivada","OK"))))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53" t="inlineStr">
        <is>
          <t>Chatbot</t>
        </is>
      </c>
      <c r="F156" s="40" t="n"/>
      <c r="G156" s="40" t="n"/>
      <c r="H156" s="54" t="n"/>
      <c r="I156" s="67">
        <f>IF(B156="","",IF(OR(D156="",F156="",G156=""),"Faltan datos",IF(AND(C156&lt;&gt;"",COUNTIF(Pacientes!$A$2:$A$46,C156)=0),"Código no registrado",IF(AND(F156="Sí",G156="Sí"),"Contradicción: resuelta y derivada","OK"))))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53" t="inlineStr">
        <is>
          <t>Chatbot</t>
        </is>
      </c>
      <c r="F157" s="40" t="n"/>
      <c r="G157" s="40" t="n"/>
      <c r="H157" s="54" t="n"/>
      <c r="I157" s="67">
        <f>IF(B157="","",IF(OR(D157="",F157="",G157=""),"Faltan datos",IF(AND(C157&lt;&gt;"",COUNTIF(Pacientes!$A$2:$A$46,C157)=0),"Código no registrado",IF(AND(F157="Sí",G157="Sí"),"Contradicción: resuelta y derivada","OK"))))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53" t="inlineStr">
        <is>
          <t>Chatbot</t>
        </is>
      </c>
      <c r="F158" s="40" t="n"/>
      <c r="G158" s="40" t="n"/>
      <c r="H158" s="54" t="n"/>
      <c r="I158" s="67">
        <f>IF(B158="","",IF(OR(D158="",F158="",G158=""),"Faltan datos",IF(AND(C158&lt;&gt;"",COUNTIF(Pacientes!$A$2:$A$46,C158)=0),"Código no registrado",IF(AND(F158="Sí",G158="Sí"),"Contradicción: resuelta y derivada","OK"))))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53" t="inlineStr">
        <is>
          <t>Chatbot</t>
        </is>
      </c>
      <c r="F159" s="40" t="n"/>
      <c r="G159" s="40" t="n"/>
      <c r="H159" s="54" t="n"/>
      <c r="I159" s="67">
        <f>IF(B159="","",IF(OR(D159="",F159="",G159=""),"Faltan datos",IF(AND(C159&lt;&gt;"",COUNTIF(Pacientes!$A$2:$A$46,C159)=0),"Código no registrado",IF(AND(F159="Sí",G159="Sí"),"Contradicción: resuelta y derivada","OK"))))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53" t="inlineStr">
        <is>
          <t>Chatbot</t>
        </is>
      </c>
      <c r="F160" s="40" t="n"/>
      <c r="G160" s="40" t="n"/>
      <c r="H160" s="54" t="n"/>
      <c r="I160" s="67">
        <f>IF(B160="","",IF(OR(D160="",F160="",G160=""),"Faltan datos",IF(AND(C160&lt;&gt;"",COUNTIF(Pacientes!$A$2:$A$46,C160)=0),"Código no registrado",IF(AND(F160="Sí",G160="Sí"),"Contradicción: resuelta y derivada","OK"))))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53" t="inlineStr">
        <is>
          <t>Chatbot</t>
        </is>
      </c>
      <c r="F161" s="40" t="n"/>
      <c r="G161" s="40" t="n"/>
      <c r="H161" s="54" t="n"/>
      <c r="I161" s="67">
        <f>IF(B161="","",IF(OR(D161="",F161="",G161=""),"Faltan datos",IF(AND(C161&lt;&gt;"",COUNTIF(Pacientes!$A$2:$A$46,C161)=0),"Código no registrado",IF(AND(F161="Sí",G161="Sí"),"Contradicción: resuelta y derivada","OK"))))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53" t="inlineStr">
        <is>
          <t>Chatbot</t>
        </is>
      </c>
      <c r="F162" s="40" t="n"/>
      <c r="G162" s="40" t="n"/>
      <c r="H162" s="54" t="n"/>
      <c r="I162" s="67">
        <f>IF(B162="","",IF(OR(D162="",F162="",G162=""),"Faltan datos",IF(AND(C162&lt;&gt;"",COUNTIF(Pacientes!$A$2:$A$46,C162)=0),"Código no registrado",IF(AND(F162="Sí",G162="Sí"),"Contradicción: resuelta y derivada","OK"))))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53" t="inlineStr">
        <is>
          <t>Chatbot</t>
        </is>
      </c>
      <c r="F163" s="40" t="n"/>
      <c r="G163" s="40" t="n"/>
      <c r="H163" s="54" t="n"/>
      <c r="I163" s="67">
        <f>IF(B163="","",IF(OR(D163="",F163="",G163=""),"Faltan datos",IF(AND(C163&lt;&gt;"",COUNTIF(Pacientes!$A$2:$A$46,C163)=0),"Código no registrado",IF(AND(F163="Sí",G163="Sí"),"Contradicción: resuelta y derivada","OK"))))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53" t="inlineStr">
        <is>
          <t>Chatbot</t>
        </is>
      </c>
      <c r="F164" s="40" t="n"/>
      <c r="G164" s="40" t="n"/>
      <c r="H164" s="54" t="n"/>
      <c r="I164" s="67">
        <f>IF(B164="","",IF(OR(D164="",F164="",G164=""),"Faltan datos",IF(AND(C164&lt;&gt;"",COUNTIF(Pacientes!$A$2:$A$46,C164)=0),"Código no registrado",IF(AND(F164="Sí",G164="Sí"),"Contradicción: resuelta y derivada","OK"))))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53" t="inlineStr">
        <is>
          <t>Chatbot</t>
        </is>
      </c>
      <c r="F165" s="40" t="n"/>
      <c r="G165" s="40" t="n"/>
      <c r="H165" s="54" t="n"/>
      <c r="I165" s="67">
        <f>IF(B165="","",IF(OR(D165="",F165="",G165=""),"Faltan datos",IF(AND(C165&lt;&gt;"",COUNTIF(Pacientes!$A$2:$A$46,C165)=0),"Código no registrado",IF(AND(F165="Sí",G165="Sí"),"Contradicción: resuelta y derivada","OK"))))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53" t="inlineStr">
        <is>
          <t>Chatbot</t>
        </is>
      </c>
      <c r="F166" s="40" t="n"/>
      <c r="G166" s="40" t="n"/>
      <c r="H166" s="54" t="n"/>
      <c r="I166" s="67">
        <f>IF(B166="","",IF(OR(D166="",F166="",G166=""),"Faltan datos",IF(AND(C166&lt;&gt;"",COUNTIF(Pacientes!$A$2:$A$46,C166)=0),"Código no registrado",IF(AND(F166="Sí",G166="Sí"),"Contradicción: resuelta y derivada","OK"))))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53" t="inlineStr">
        <is>
          <t>Chatbot</t>
        </is>
      </c>
      <c r="F167" s="40" t="n"/>
      <c r="G167" s="40" t="n"/>
      <c r="H167" s="54" t="n"/>
      <c r="I167" s="67">
        <f>IF(B167="","",IF(OR(D167="",F167="",G167=""),"Faltan datos",IF(AND(C167&lt;&gt;"",COUNTIF(Pacientes!$A$2:$A$46,C167)=0),"Código no registrado",IF(AND(F167="Sí",G167="Sí"),"Contradicción: resuelta y derivada","OK"))))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53" t="inlineStr">
        <is>
          <t>Chatbot</t>
        </is>
      </c>
      <c r="F168" s="40" t="n"/>
      <c r="G168" s="40" t="n"/>
      <c r="H168" s="54" t="n"/>
      <c r="I168" s="67">
        <f>IF(B168="","",IF(OR(D168="",F168="",G168=""),"Faltan datos",IF(AND(C168&lt;&gt;"",COUNTIF(Pacientes!$A$2:$A$46,C168)=0),"Código no registrado",IF(AND(F168="Sí",G168="Sí"),"Contradicción: resuelta y derivada","OK"))))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53" t="inlineStr">
        <is>
          <t>Chatbot</t>
        </is>
      </c>
      <c r="F169" s="40" t="n"/>
      <c r="G169" s="40" t="n"/>
      <c r="H169" s="54" t="n"/>
      <c r="I169" s="67">
        <f>IF(B169="","",IF(OR(D169="",F169="",G169=""),"Faltan datos",IF(AND(C169&lt;&gt;"",COUNTIF(Pacientes!$A$2:$A$46,C169)=0),"Código no registrado",IF(AND(F169="Sí",G169="Sí"),"Contradicción: resuelta y derivada","OK"))))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53" t="inlineStr">
        <is>
          <t>Chatbot</t>
        </is>
      </c>
      <c r="F170" s="40" t="n"/>
      <c r="G170" s="40" t="n"/>
      <c r="H170" s="54" t="n"/>
      <c r="I170" s="67">
        <f>IF(B170="","",IF(OR(D170="",F170="",G170=""),"Faltan datos",IF(AND(C170&lt;&gt;"",COUNTIF(Pacientes!$A$2:$A$46,C170)=0),"Código no registrado",IF(AND(F170="Sí",G170="Sí"),"Contradicción: resuelta y derivada","OK"))))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53" t="inlineStr">
        <is>
          <t>Chatbot</t>
        </is>
      </c>
      <c r="F171" s="40" t="n"/>
      <c r="G171" s="40" t="n"/>
      <c r="H171" s="54" t="n"/>
      <c r="I171" s="67">
        <f>IF(B171="","",IF(OR(D171="",F171="",G171=""),"Faltan datos",IF(AND(C171&lt;&gt;"",COUNTIF(Pacientes!$A$2:$A$46,C171)=0),"Código no registrado",IF(AND(F171="Sí",G171="Sí"),"Contradicción: resuelta y derivada","OK"))))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53" t="inlineStr">
        <is>
          <t>Chatbot</t>
        </is>
      </c>
      <c r="F172" s="40" t="n"/>
      <c r="G172" s="40" t="n"/>
      <c r="H172" s="54" t="n"/>
      <c r="I172" s="67">
        <f>IF(B172="","",IF(OR(D172="",F172="",G172=""),"Faltan datos",IF(AND(C172&lt;&gt;"",COUNTIF(Pacientes!$A$2:$A$46,C172)=0),"Código no registrado",IF(AND(F172="Sí",G172="Sí"),"Contradicción: resuelta y derivada","OK"))))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53" t="inlineStr">
        <is>
          <t>Chatbot</t>
        </is>
      </c>
      <c r="F173" s="40" t="n"/>
      <c r="G173" s="40" t="n"/>
      <c r="H173" s="54" t="n"/>
      <c r="I173" s="67">
        <f>IF(B173="","",IF(OR(D173="",F173="",G173=""),"Faltan datos",IF(AND(C173&lt;&gt;"",COUNTIF(Pacientes!$A$2:$A$46,C173)=0),"Código no registrado",IF(AND(F173="Sí",G173="Sí"),"Contradicción: resuelta y derivada","OK"))))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53" t="inlineStr">
        <is>
          <t>Chatbot</t>
        </is>
      </c>
      <c r="F174" s="40" t="n"/>
      <c r="G174" s="40" t="n"/>
      <c r="H174" s="54" t="n"/>
      <c r="I174" s="67">
        <f>IF(B174="","",IF(OR(D174="",F174="",G174=""),"Faltan datos",IF(AND(C174&lt;&gt;"",COUNTIF(Pacientes!$A$2:$A$46,C174)=0),"Código no registrado",IF(AND(F174="Sí",G174="Sí"),"Contradicción: resuelta y derivada","OK"))))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53" t="inlineStr">
        <is>
          <t>Chatbot</t>
        </is>
      </c>
      <c r="F175" s="40" t="n"/>
      <c r="G175" s="40" t="n"/>
      <c r="H175" s="54" t="n"/>
      <c r="I175" s="67">
        <f>IF(B175="","",IF(OR(D175="",F175="",G175=""),"Faltan datos",IF(AND(C175&lt;&gt;"",COUNTIF(Pacientes!$A$2:$A$46,C175)=0),"Código no registrado",IF(AND(F175="Sí",G175="Sí"),"Contradicción: resuelta y derivada","OK"))))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53" t="inlineStr">
        <is>
          <t>Chatbot</t>
        </is>
      </c>
      <c r="F176" s="40" t="n"/>
      <c r="G176" s="40" t="n"/>
      <c r="H176" s="54" t="n"/>
      <c r="I176" s="67">
        <f>IF(B176="","",IF(OR(D176="",F176="",G176=""),"Faltan datos",IF(AND(C176&lt;&gt;"",COUNTIF(Pacientes!$A$2:$A$46,C176)=0),"Código no registrado",IF(AND(F176="Sí",G176="Sí"),"Contradicción: resuelta y derivada","OK"))))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53" t="inlineStr">
        <is>
          <t>Chatbot</t>
        </is>
      </c>
      <c r="F177" s="40" t="n"/>
      <c r="G177" s="40" t="n"/>
      <c r="H177" s="54" t="n"/>
      <c r="I177" s="67">
        <f>IF(B177="","",IF(OR(D177="",F177="",G177=""),"Faltan datos",IF(AND(C177&lt;&gt;"",COUNTIF(Pacientes!$A$2:$A$46,C177)=0),"Código no registrado",IF(AND(F177="Sí",G177="Sí"),"Contradicción: resuelta y derivada","OK"))))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53" t="inlineStr">
        <is>
          <t>Chatbot</t>
        </is>
      </c>
      <c r="F178" s="40" t="n"/>
      <c r="G178" s="40" t="n"/>
      <c r="H178" s="54" t="n"/>
      <c r="I178" s="67">
        <f>IF(B178="","",IF(OR(D178="",F178="",G178=""),"Faltan datos",IF(AND(C178&lt;&gt;"",COUNTIF(Pacientes!$A$2:$A$46,C178)=0),"Código no registrado",IF(AND(F178="Sí",G178="Sí"),"Contradicción: resuelta y derivada","OK"))))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53" t="inlineStr">
        <is>
          <t>Chatbot</t>
        </is>
      </c>
      <c r="F179" s="40" t="n"/>
      <c r="G179" s="40" t="n"/>
      <c r="H179" s="54" t="n"/>
      <c r="I179" s="67">
        <f>IF(B179="","",IF(OR(D179="",F179="",G179=""),"Faltan datos",IF(AND(C179&lt;&gt;"",COUNTIF(Pacientes!$A$2:$A$46,C179)=0),"Código no registrado",IF(AND(F179="Sí",G179="Sí"),"Contradicción: resuelta y derivada","OK"))))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53" t="inlineStr">
        <is>
          <t>Chatbot</t>
        </is>
      </c>
      <c r="F180" s="40" t="n"/>
      <c r="G180" s="40" t="n"/>
      <c r="H180" s="54" t="n"/>
      <c r="I180" s="67">
        <f>IF(B180="","",IF(OR(D180="",F180="",G180=""),"Faltan datos",IF(AND(C180&lt;&gt;"",COUNTIF(Pacientes!$A$2:$A$46,C180)=0),"Código no registrado",IF(AND(F180="Sí",G180="Sí"),"Contradicción: resuelta y derivada","OK"))))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53" t="inlineStr">
        <is>
          <t>Chatbot</t>
        </is>
      </c>
      <c r="F181" s="40" t="n"/>
      <c r="G181" s="40" t="n"/>
      <c r="H181" s="54" t="n"/>
      <c r="I181" s="67">
        <f>IF(B181="","",IF(OR(D181="",F181="",G181=""),"Faltan datos",IF(AND(C181&lt;&gt;"",COUNTIF(Pacientes!$A$2:$A$46,C181)=0),"Código no registrado",IF(AND(F181="Sí",G181="Sí"),"Contradicción: resuelta y derivada","OK"))))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53" t="inlineStr">
        <is>
          <t>Chatbot</t>
        </is>
      </c>
      <c r="F182" s="40" t="n"/>
      <c r="G182" s="40" t="n"/>
      <c r="H182" s="54" t="n"/>
      <c r="I182" s="67">
        <f>IF(B182="","",IF(OR(D182="",F182="",G182=""),"Faltan datos",IF(AND(C182&lt;&gt;"",COUNTIF(Pacientes!$A$2:$A$46,C182)=0),"Código no registrado",IF(AND(F182="Sí",G182="Sí"),"Contradicción: resuelta y derivada","OK"))))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53" t="inlineStr">
        <is>
          <t>Chatbot</t>
        </is>
      </c>
      <c r="F183" s="40" t="n"/>
      <c r="G183" s="40" t="n"/>
      <c r="H183" s="54" t="n"/>
      <c r="I183" s="67">
        <f>IF(B183="","",IF(OR(D183="",F183="",G183=""),"Faltan datos",IF(AND(C183&lt;&gt;"",COUNTIF(Pacientes!$A$2:$A$46,C183)=0),"Código no registrado",IF(AND(F183="Sí",G183="Sí"),"Contradicción: resuelta y derivada","OK"))))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53" t="inlineStr">
        <is>
          <t>Chatbot</t>
        </is>
      </c>
      <c r="F184" s="40" t="n"/>
      <c r="G184" s="40" t="n"/>
      <c r="H184" s="54" t="n"/>
      <c r="I184" s="67">
        <f>IF(B184="","",IF(OR(D184="",F184="",G184=""),"Faltan datos",IF(AND(C184&lt;&gt;"",COUNTIF(Pacientes!$A$2:$A$46,C184)=0),"Código no registrado",IF(AND(F184="Sí",G184="Sí"),"Contradicción: resuelta y derivada","OK"))))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53" t="inlineStr">
        <is>
          <t>Chatbot</t>
        </is>
      </c>
      <c r="F185" s="40" t="n"/>
      <c r="G185" s="40" t="n"/>
      <c r="H185" s="54" t="n"/>
      <c r="I185" s="67">
        <f>IF(B185="","",IF(OR(D185="",F185="",G185=""),"Faltan datos",IF(AND(C185&lt;&gt;"",COUNTIF(Pacientes!$A$2:$A$46,C185)=0),"Código no registrado",IF(AND(F185="Sí",G185="Sí"),"Contradicción: resuelta y derivada","OK"))))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53" t="inlineStr">
        <is>
          <t>Chatbot</t>
        </is>
      </c>
      <c r="F186" s="40" t="n"/>
      <c r="G186" s="40" t="n"/>
      <c r="H186" s="54" t="n"/>
      <c r="I186" s="67">
        <f>IF(B186="","",IF(OR(D186="",F186="",G186=""),"Faltan datos",IF(AND(C186&lt;&gt;"",COUNTIF(Pacientes!$A$2:$A$46,C186)=0),"Código no registrado",IF(AND(F186="Sí",G186="Sí"),"Contradicción: resuelta y derivada","OK"))))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53" t="inlineStr">
        <is>
          <t>Chatbot</t>
        </is>
      </c>
      <c r="F187" s="40" t="n"/>
      <c r="G187" s="40" t="n"/>
      <c r="H187" s="54" t="n"/>
      <c r="I187" s="67">
        <f>IF(B187="","",IF(OR(D187="",F187="",G187=""),"Faltan datos",IF(AND(C187&lt;&gt;"",COUNTIF(Pacientes!$A$2:$A$46,C187)=0),"Código no registrado",IF(AND(F187="Sí",G187="Sí"),"Contradicción: resuelta y derivada","OK"))))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53" t="inlineStr">
        <is>
          <t>Chatbot</t>
        </is>
      </c>
      <c r="F188" s="40" t="n"/>
      <c r="G188" s="40" t="n"/>
      <c r="H188" s="54" t="n"/>
      <c r="I188" s="67">
        <f>IF(B188="","",IF(OR(D188="",F188="",G188=""),"Faltan datos",IF(AND(C188&lt;&gt;"",COUNTIF(Pacientes!$A$2:$A$46,C188)=0),"Código no registrado",IF(AND(F188="Sí",G188="Sí"),"Contradicción: resuelta y derivada","OK"))))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53" t="inlineStr">
        <is>
          <t>Chatbot</t>
        </is>
      </c>
      <c r="F189" s="40" t="n"/>
      <c r="G189" s="40" t="n"/>
      <c r="H189" s="54" t="n"/>
      <c r="I189" s="67">
        <f>IF(B189="","",IF(OR(D189="",F189="",G189=""),"Faltan datos",IF(AND(C189&lt;&gt;"",COUNTIF(Pacientes!$A$2:$A$46,C189)=0),"Código no registrado",IF(AND(F189="Sí",G189="Sí"),"Contradicción: resuelta y derivada","OK"))))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53" t="inlineStr">
        <is>
          <t>Chatbot</t>
        </is>
      </c>
      <c r="F190" s="40" t="n"/>
      <c r="G190" s="40" t="n"/>
      <c r="H190" s="54" t="n"/>
      <c r="I190" s="67">
        <f>IF(B190="","",IF(OR(D190="",F190="",G190=""),"Faltan datos",IF(AND(C190&lt;&gt;"",COUNTIF(Pacientes!$A$2:$A$46,C190)=0),"Código no registrado",IF(AND(F190="Sí",G190="Sí"),"Contradicción: resuelta y derivada","OK"))))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53" t="inlineStr">
        <is>
          <t>Chatbot</t>
        </is>
      </c>
      <c r="F191" s="40" t="n"/>
      <c r="G191" s="40" t="n"/>
      <c r="H191" s="54" t="n"/>
      <c r="I191" s="67">
        <f>IF(B191="","",IF(OR(D191="",F191="",G191=""),"Faltan datos",IF(AND(C191&lt;&gt;"",COUNTIF(Pacientes!$A$2:$A$46,C191)=0),"Código no registrado",IF(AND(F191="Sí",G191="Sí"),"Contradicción: resuelta y derivada","OK"))))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53" t="inlineStr">
        <is>
          <t>Chatbot</t>
        </is>
      </c>
      <c r="F192" s="40" t="n"/>
      <c r="G192" s="40" t="n"/>
      <c r="H192" s="54" t="n"/>
      <c r="I192" s="67">
        <f>IF(B192="","",IF(OR(D192="",F192="",G192=""),"Faltan datos",IF(AND(C192&lt;&gt;"",COUNTIF(Pacientes!$A$2:$A$46,C192)=0),"Código no registrado",IF(AND(F192="Sí",G192="Sí"),"Contradicción: resuelta y derivada","OK"))))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53" t="inlineStr">
        <is>
          <t>Chatbot</t>
        </is>
      </c>
      <c r="F193" s="40" t="n"/>
      <c r="G193" s="40" t="n"/>
      <c r="H193" s="54" t="n"/>
      <c r="I193" s="67">
        <f>IF(B193="","",IF(OR(D193="",F193="",G193=""),"Faltan datos",IF(AND(C193&lt;&gt;"",COUNTIF(Pacientes!$A$2:$A$46,C193)=0),"Código no registrado",IF(AND(F193="Sí",G193="Sí"),"Contradicción: resuelta y derivada","OK"))))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53" t="inlineStr">
        <is>
          <t>Chatbot</t>
        </is>
      </c>
      <c r="F194" s="40" t="n"/>
      <c r="G194" s="40" t="n"/>
      <c r="H194" s="54" t="n"/>
      <c r="I194" s="67">
        <f>IF(B194="","",IF(OR(D194="",F194="",G194=""),"Faltan datos",IF(AND(C194&lt;&gt;"",COUNTIF(Pacientes!$A$2:$A$46,C194)=0),"Código no registrado",IF(AND(F194="Sí",G194="Sí"),"Contradicción: resuelta y derivada","OK"))))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53" t="inlineStr">
        <is>
          <t>Chatbot</t>
        </is>
      </c>
      <c r="F195" s="40" t="n"/>
      <c r="G195" s="40" t="n"/>
      <c r="H195" s="54" t="n"/>
      <c r="I195" s="67">
        <f>IF(B195="","",IF(OR(D195="",F195="",G195=""),"Faltan datos",IF(AND(C195&lt;&gt;"",COUNTIF(Pacientes!$A$2:$A$46,C195)=0),"Código no registrado",IF(AND(F195="Sí",G195="Sí"),"Contradicción: resuelta y derivada","OK"))))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53" t="inlineStr">
        <is>
          <t>Chatbot</t>
        </is>
      </c>
      <c r="F196" s="40" t="n"/>
      <c r="G196" s="40" t="n"/>
      <c r="H196" s="54" t="n"/>
      <c r="I196" s="67">
        <f>IF(B196="","",IF(OR(D196="",F196="",G196=""),"Faltan datos",IF(AND(C196&lt;&gt;"",COUNTIF(Pacientes!$A$2:$A$46,C196)=0),"Código no registrado",IF(AND(F196="Sí",G196="Sí"),"Contradicción: resuelta y derivada","OK"))))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53" t="inlineStr">
        <is>
          <t>Chatbot</t>
        </is>
      </c>
      <c r="F197" s="40" t="n"/>
      <c r="G197" s="40" t="n"/>
      <c r="H197" s="54" t="n"/>
      <c r="I197" s="67">
        <f>IF(B197="","",IF(OR(D197="",F197="",G197=""),"Faltan datos",IF(AND(C197&lt;&gt;"",COUNTIF(Pacientes!$A$2:$A$46,C197)=0),"Código no registrado",IF(AND(F197="Sí",G197="Sí"),"Contradicción: resuelta y derivada","OK"))))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53" t="inlineStr">
        <is>
          <t>Chatbot</t>
        </is>
      </c>
      <c r="F198" s="40" t="n"/>
      <c r="G198" s="40" t="n"/>
      <c r="H198" s="54" t="n"/>
      <c r="I198" s="67">
        <f>IF(B198="","",IF(OR(D198="",F198="",G198=""),"Faltan datos",IF(AND(C198&lt;&gt;"",COUNTIF(Pacientes!$A$2:$A$46,C198)=0),"Código no registrado",IF(AND(F198="Sí",G198="Sí"),"Contradicción: resuelta y derivada","OK"))))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53" t="inlineStr">
        <is>
          <t>Chatbot</t>
        </is>
      </c>
      <c r="F199" s="40" t="n"/>
      <c r="G199" s="40" t="n"/>
      <c r="H199" s="54" t="n"/>
      <c r="I199" s="67">
        <f>IF(B199="","",IF(OR(D199="",F199="",G199=""),"Faltan datos",IF(AND(C199&lt;&gt;"",COUNTIF(Pacientes!$A$2:$A$46,C199)=0),"Código no registrado",IF(AND(F199="Sí",G199="Sí"),"Contradicción: resuelta y derivada","OK"))))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53" t="inlineStr">
        <is>
          <t>Chatbot</t>
        </is>
      </c>
      <c r="F200" s="40" t="n"/>
      <c r="G200" s="40" t="n"/>
      <c r="H200" s="54" t="n"/>
      <c r="I200" s="67">
        <f>IF(B200="","",IF(OR(D200="",F200="",G200=""),"Faltan datos",IF(AND(C200&lt;&gt;"",COUNTIF(Pacientes!$A$2:$A$46,C200)=0),"Código no registrado",IF(AND(F200="Sí",G200="Sí"),"Contradicción: resuelta y derivada","OK"))))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53" t="inlineStr">
        <is>
          <t>Chatbot</t>
        </is>
      </c>
      <c r="F201" s="40" t="n"/>
      <c r="G201" s="40" t="n"/>
      <c r="H201" s="54" t="n"/>
      <c r="I201" s="67">
        <f>IF(B201="","",IF(OR(D201="",F201="",G201=""),"Faltan datos",IF(AND(C201&lt;&gt;"",COUNTIF(Pacientes!$A$2:$A$46,C201)=0),"Código no registrado",IF(AND(F201="Sí",G201="Sí"),"Contradicción: resuelta y derivada","OK"))))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53" t="inlineStr">
        <is>
          <t>Chatbot</t>
        </is>
      </c>
      <c r="F202" s="40" t="n"/>
      <c r="G202" s="40" t="n"/>
      <c r="H202" s="54" t="n"/>
      <c r="I202" s="67">
        <f>IF(B202="","",IF(OR(D202="",F202="",G202=""),"Faltan datos",IF(AND(C202&lt;&gt;"",COUNTIF(Pacientes!$A$2:$A$46,C202)=0),"Código no registrado",IF(AND(F202="Sí",G202="Sí"),"Contradicción: resuelta y derivada","OK"))))</f>
        <v/>
      </c>
    </row>
  </sheetData>
  <conditionalFormatting sqref="I3:I202">
    <cfRule type="expression" priority="1" dxfId="0">
      <formula>AND(I3&lt;&gt;"",I3&lt;&gt;"OK")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2" customWidth="1" style="26" min="2" max="3"/>
    <col width="16" customWidth="1" style="26" min="4" max="5"/>
    <col width="12" customWidth="1" style="26" min="6" max="7"/>
    <col width="16" customWidth="1" style="26" min="8" max="9"/>
    <col width="13" customWidth="1" style="27" min="10" max="10"/>
    <col width="13" customWidth="1" style="27" min="11" max="11"/>
    <col width="13" customWidth="1" style="27" min="12" max="12"/>
    <col width="13" customWidth="1" style="27" min="13" max="13"/>
    <col width="13" customWidth="1" style="27" min="14" max="14"/>
    <col width="13" customWidth="1" style="27" min="15" max="15"/>
    <col width="13" customWidth="1" style="27" min="16" max="16"/>
    <col width="13" customWidth="1" style="27" min="17" max="17"/>
    <col width="13" customWidth="1" style="27" min="18" max="18"/>
    <col width="12" customWidth="1" style="27" min="19" max="19"/>
  </cols>
  <sheetData>
    <row r="1" ht="32" customHeight="1" s="27">
      <c r="A1" s="38" t="inlineStr">
        <is>
          <t>Par</t>
        </is>
      </c>
      <c r="B1" s="38" t="inlineStr">
        <is>
          <t>Fecha PRE</t>
        </is>
      </c>
      <c r="C1" s="38" t="inlineStr">
        <is>
          <t>TPR PRE
(min)</t>
        </is>
      </c>
      <c r="D1" s="38" t="inlineStr">
        <is>
          <t>Ausentismo
PRE (%)</t>
        </is>
      </c>
      <c r="E1" s="38" t="inlineStr">
        <is>
          <t>Consultas
PRE (%)</t>
        </is>
      </c>
      <c r="F1" s="38" t="inlineStr">
        <is>
          <t>Fecha POST</t>
        </is>
      </c>
      <c r="G1" s="38" t="inlineStr">
        <is>
          <t>TPR POST
(min)</t>
        </is>
      </c>
      <c r="H1" s="38" t="inlineStr">
        <is>
          <t>Ausentismo
POST (%)</t>
        </is>
      </c>
      <c r="I1" s="38" t="inlineStr">
        <is>
          <t>Consultas
POST (%)</t>
        </is>
      </c>
      <c r="J1" s="42" t="inlineStr">
        <is>
          <t>Registros
PRE</t>
        </is>
      </c>
      <c r="K1" s="42" t="inlineStr">
        <is>
          <t>Citas elegibles
PRE</t>
        </is>
      </c>
      <c r="L1" s="42" t="inlineStr">
        <is>
          <t>Consultas
PRE</t>
        </is>
      </c>
      <c r="M1" s="42" t="inlineStr">
        <is>
          <t>Registros
POST</t>
        </is>
      </c>
      <c r="N1" s="42" t="inlineStr">
        <is>
          <t>Citas elegibles
POST</t>
        </is>
      </c>
      <c r="O1" s="42" t="inlineStr">
        <is>
          <t>Consultas
POST</t>
        </is>
      </c>
      <c r="P1" s="42" t="inlineStr">
        <is>
          <t>Par válido
TPR</t>
        </is>
      </c>
      <c r="Q1" s="42" t="inlineStr">
        <is>
          <t>Par válido
TA</t>
        </is>
      </c>
      <c r="R1" s="42" t="inlineStr">
        <is>
          <t>Par válido
NCA</t>
        </is>
      </c>
      <c r="S1" s="64" t="inlineStr">
        <is>
          <t>Mismo día
de semana</t>
        </is>
      </c>
    </row>
    <row r="2" ht="15" customHeight="1" s="27">
      <c r="A2" s="39" t="n">
        <v>1</v>
      </c>
      <c r="B2" s="55" t="n">
        <v>46237</v>
      </c>
      <c r="C2" s="56">
        <f>IFERROR(AVERAGEIFS(TPR_PRE!$F$3:$F$202,TPR_PRE!$B$3:$B$202,B2),"")</f>
        <v/>
      </c>
      <c r="D2" s="57">
        <f>IFERROR(COUNTIFS(Ausentismo_PRE!$B$3:$B$202,B2,Ausentismo_PRE!$E$3:$E$202,"No asistió")/(COUNTIFS(Ausentismo_PRE!$B$3:$B$202,B2,Ausentismo_PRE!$E$3:$E$202,"No asistió")+COUNTIFS(Ausentismo_PRE!$B$3:$B$202,B2,Ausentismo_PRE!$E$3:$E$202,"Asistió")),"")</f>
        <v/>
      </c>
      <c r="E2" s="57">
        <f>IFERROR(COUNTIFS(Consultas_PRE!$B$3:$B$202,B2,Consultas_PRE!$F$3:$F$202,"Sí",Consultas_PRE!$G$3:$G$202,"No")/COUNTIFS(Consultas_PRE!$B$3:$B$202,B2),"")</f>
        <v/>
      </c>
      <c r="F2" s="55" t="n">
        <v>46272</v>
      </c>
      <c r="G2" s="56">
        <f>IFERROR(AVERAGEIFS(TPR_POST!$F$3:$F$202,TPR_POST!$B$3:$B$202,F2),"")</f>
        <v/>
      </c>
      <c r="H2" s="57">
        <f>IFERROR(COUNTIFS(Ausentismo_POST!$B$3:$B$202,F2,Ausentismo_POST!$E$3:$E$202,"No asistió")/(COUNTIFS(Ausentismo_POST!$B$3:$B$202,F2,Ausentismo_POST!$E$3:$E$202,"No asistió")+COUNTIFS(Ausentismo_POST!$B$3:$B$202,F2,Ausentismo_POST!$E$3:$E$202,"Asistió")),"")</f>
        <v/>
      </c>
      <c r="I2" s="57">
        <f>IFERROR(COUNTIFS(Consultas_POST!$B$3:$B$202,F2,Consultas_POST!$F$3:$F$202,"Sí",Consultas_POST!$G$3:$G$202,"No")/COUNTIFS(Consultas_POST!$B$3:$B$202,F2),"")</f>
        <v/>
      </c>
      <c r="J2" s="58">
        <f>COUNTIFS(TPR_PRE!$B$3:$B$202,B2,TPR_PRE!$F$3:$F$202,"&gt;=0")</f>
        <v/>
      </c>
      <c r="K2" s="58">
        <f>COUNTIFS(Ausentismo_PRE!$B$3:$B$202,B2,Ausentismo_PRE!$E$3:$E$202,"No asistió")+COUNTIFS(Ausentismo_PRE!$B$3:$B$202,B2,Ausentismo_PRE!$E$3:$E$202,"Asistió")</f>
        <v/>
      </c>
      <c r="L2" s="58">
        <f>COUNTIFS(Consultas_PRE!$B$3:$B$202,B2)</f>
        <v/>
      </c>
      <c r="M2" s="58">
        <f>COUNTIFS(TPR_POST!$B$3:$B$202,F2,TPR_POST!$F$3:$F$202,"&gt;=0")</f>
        <v/>
      </c>
      <c r="N2" s="58">
        <f>COUNTIFS(Ausentismo_POST!$B$3:$B$202,F2,Ausentismo_POST!$E$3:$E$202,"No asistió")+COUNTIFS(Ausentismo_POST!$B$3:$B$202,F2,Ausentismo_POST!$E$3:$E$202,"Asistió")</f>
        <v/>
      </c>
      <c r="O2" s="58">
        <f>COUNTIFS(Consultas_POST!$B$3:$B$202,F2)</f>
        <v/>
      </c>
      <c r="P2" s="58">
        <f>IF(AND(J2&gt;0,M2&gt;0),"Sí","No")</f>
        <v/>
      </c>
      <c r="Q2" s="58">
        <f>IF(AND(K2&gt;0,N2&gt;0),"Sí","No")</f>
        <v/>
      </c>
      <c r="R2" s="58">
        <f>IF(AND(L2&gt;0,O2&gt;0),"Sí","No")</f>
        <v/>
      </c>
      <c r="S2" s="58">
        <f>IF(WEEKDAY(B2)=WEEKDAY(F2),"Sí","No")</f>
        <v/>
      </c>
    </row>
    <row r="3" ht="15" customHeight="1" s="27">
      <c r="A3" s="39" t="n">
        <v>2</v>
      </c>
      <c r="B3" s="55" t="n">
        <v>46239</v>
      </c>
      <c r="C3" s="56">
        <f>IFERROR(AVERAGEIFS(TPR_PRE!$F$3:$F$202,TPR_PRE!$B$3:$B$202,B3),"")</f>
        <v/>
      </c>
      <c r="D3" s="57">
        <f>IFERROR(COUNTIFS(Ausentismo_PRE!$B$3:$B$202,B3,Ausentismo_PRE!$E$3:$E$202,"No asistió")/(COUNTIFS(Ausentismo_PRE!$B$3:$B$202,B3,Ausentismo_PRE!$E$3:$E$202,"No asistió")+COUNTIFS(Ausentismo_PRE!$B$3:$B$202,B3,Ausentismo_PRE!$E$3:$E$202,"Asistió")),"")</f>
        <v/>
      </c>
      <c r="E3" s="57">
        <f>IFERROR(COUNTIFS(Consultas_PRE!$B$3:$B$202,B3,Consultas_PRE!$F$3:$F$202,"Sí",Consultas_PRE!$G$3:$G$202,"No")/COUNTIFS(Consultas_PRE!$B$3:$B$202,B3),"")</f>
        <v/>
      </c>
      <c r="F3" s="55" t="n">
        <v>46267</v>
      </c>
      <c r="G3" s="56">
        <f>IFERROR(AVERAGEIFS(TPR_POST!$F$3:$F$202,TPR_POST!$B$3:$B$202,F3),"")</f>
        <v/>
      </c>
      <c r="H3" s="57">
        <f>IFERROR(COUNTIFS(Ausentismo_POST!$B$3:$B$202,F3,Ausentismo_POST!$E$3:$E$202,"No asistió")/(COUNTIFS(Ausentismo_POST!$B$3:$B$202,F3,Ausentismo_POST!$E$3:$E$202,"No asistió")+COUNTIFS(Ausentismo_POST!$B$3:$B$202,F3,Ausentismo_POST!$E$3:$E$202,"Asistió")),"")</f>
        <v/>
      </c>
      <c r="I3" s="57">
        <f>IFERROR(COUNTIFS(Consultas_POST!$B$3:$B$202,F3,Consultas_POST!$F$3:$F$202,"Sí",Consultas_POST!$G$3:$G$202,"No")/COUNTIFS(Consultas_POST!$B$3:$B$202,F3),"")</f>
        <v/>
      </c>
      <c r="J3" s="58">
        <f>COUNTIFS(TPR_PRE!$B$3:$B$202,B3,TPR_PRE!$F$3:$F$202,"&gt;=0")</f>
        <v/>
      </c>
      <c r="K3" s="58">
        <f>COUNTIFS(Ausentismo_PRE!$B$3:$B$202,B3,Ausentismo_PRE!$E$3:$E$202,"No asistió")+COUNTIFS(Ausentismo_PRE!$B$3:$B$202,B3,Ausentismo_PRE!$E$3:$E$202,"Asistió")</f>
        <v/>
      </c>
      <c r="L3" s="58">
        <f>COUNTIFS(Consultas_PRE!$B$3:$B$202,B3)</f>
        <v/>
      </c>
      <c r="M3" s="58">
        <f>COUNTIFS(TPR_POST!$B$3:$B$202,F3,TPR_POST!$F$3:$F$202,"&gt;=0")</f>
        <v/>
      </c>
      <c r="N3" s="58">
        <f>COUNTIFS(Ausentismo_POST!$B$3:$B$202,F3,Ausentismo_POST!$E$3:$E$202,"No asistió")+COUNTIFS(Ausentismo_POST!$B$3:$B$202,F3,Ausentismo_POST!$E$3:$E$202,"Asistió")</f>
        <v/>
      </c>
      <c r="O3" s="58">
        <f>COUNTIFS(Consultas_POST!$B$3:$B$202,F3)</f>
        <v/>
      </c>
      <c r="P3" s="58">
        <f>IF(AND(J3&gt;0,M3&gt;0),"Sí","No")</f>
        <v/>
      </c>
      <c r="Q3" s="58">
        <f>IF(AND(K3&gt;0,N3&gt;0),"Sí","No")</f>
        <v/>
      </c>
      <c r="R3" s="58">
        <f>IF(AND(L3&gt;0,O3&gt;0),"Sí","No")</f>
        <v/>
      </c>
      <c r="S3" s="58">
        <f>IF(WEEKDAY(B3)=WEEKDAY(F3),"Sí","No")</f>
        <v/>
      </c>
    </row>
    <row r="4" ht="15" customHeight="1" s="27">
      <c r="A4" s="39" t="n">
        <v>3</v>
      </c>
      <c r="B4" s="55" t="n">
        <v>46241</v>
      </c>
      <c r="C4" s="56">
        <f>IFERROR(AVERAGEIFS(TPR_PRE!$F$3:$F$202,TPR_PRE!$B$3:$B$202,B4),"")</f>
        <v/>
      </c>
      <c r="D4" s="57">
        <f>IFERROR(COUNTIFS(Ausentismo_PRE!$B$3:$B$202,B4,Ausentismo_PRE!$E$3:$E$202,"No asistió")/(COUNTIFS(Ausentismo_PRE!$B$3:$B$202,B4,Ausentismo_PRE!$E$3:$E$202,"No asistió")+COUNTIFS(Ausentismo_PRE!$B$3:$B$202,B4,Ausentismo_PRE!$E$3:$E$202,"Asistió")),"")</f>
        <v/>
      </c>
      <c r="E4" s="57">
        <f>IFERROR(COUNTIFS(Consultas_PRE!$B$3:$B$202,B4,Consultas_PRE!$F$3:$F$202,"Sí",Consultas_PRE!$G$3:$G$202,"No")/COUNTIFS(Consultas_PRE!$B$3:$B$202,B4),"")</f>
        <v/>
      </c>
      <c r="F4" s="55" t="n">
        <v>46269</v>
      </c>
      <c r="G4" s="56">
        <f>IFERROR(AVERAGEIFS(TPR_POST!$F$3:$F$202,TPR_POST!$B$3:$B$202,F4),"")</f>
        <v/>
      </c>
      <c r="H4" s="57">
        <f>IFERROR(COUNTIFS(Ausentismo_POST!$B$3:$B$202,F4,Ausentismo_POST!$E$3:$E$202,"No asistió")/(COUNTIFS(Ausentismo_POST!$B$3:$B$202,F4,Ausentismo_POST!$E$3:$E$202,"No asistió")+COUNTIFS(Ausentismo_POST!$B$3:$B$202,F4,Ausentismo_POST!$E$3:$E$202,"Asistió")),"")</f>
        <v/>
      </c>
      <c r="I4" s="57">
        <f>IFERROR(COUNTIFS(Consultas_POST!$B$3:$B$202,F4,Consultas_POST!$F$3:$F$202,"Sí",Consultas_POST!$G$3:$G$202,"No")/COUNTIFS(Consultas_POST!$B$3:$B$202,F4),"")</f>
        <v/>
      </c>
      <c r="J4" s="58">
        <f>COUNTIFS(TPR_PRE!$B$3:$B$202,B4,TPR_PRE!$F$3:$F$202,"&gt;=0")</f>
        <v/>
      </c>
      <c r="K4" s="58">
        <f>COUNTIFS(Ausentismo_PRE!$B$3:$B$202,B4,Ausentismo_PRE!$E$3:$E$202,"No asistió")+COUNTIFS(Ausentismo_PRE!$B$3:$B$202,B4,Ausentismo_PRE!$E$3:$E$202,"Asistió")</f>
        <v/>
      </c>
      <c r="L4" s="58">
        <f>COUNTIFS(Consultas_PRE!$B$3:$B$202,B4)</f>
        <v/>
      </c>
      <c r="M4" s="58">
        <f>COUNTIFS(TPR_POST!$B$3:$B$202,F4,TPR_POST!$F$3:$F$202,"&gt;=0")</f>
        <v/>
      </c>
      <c r="N4" s="58">
        <f>COUNTIFS(Ausentismo_POST!$B$3:$B$202,F4,Ausentismo_POST!$E$3:$E$202,"No asistió")+COUNTIFS(Ausentismo_POST!$B$3:$B$202,F4,Ausentismo_POST!$E$3:$E$202,"Asistió")</f>
        <v/>
      </c>
      <c r="O4" s="58">
        <f>COUNTIFS(Consultas_POST!$B$3:$B$202,F4)</f>
        <v/>
      </c>
      <c r="P4" s="58">
        <f>IF(AND(J4&gt;0,M4&gt;0),"Sí","No")</f>
        <v/>
      </c>
      <c r="Q4" s="58">
        <f>IF(AND(K4&gt;0,N4&gt;0),"Sí","No")</f>
        <v/>
      </c>
      <c r="R4" s="58">
        <f>IF(AND(L4&gt;0,O4&gt;0),"Sí","No")</f>
        <v/>
      </c>
      <c r="S4" s="58">
        <f>IF(WEEKDAY(B4)=WEEKDAY(F4),"Sí","No")</f>
        <v/>
      </c>
    </row>
    <row r="5" ht="15" customHeight="1" s="27">
      <c r="A5" s="39" t="n">
        <v>4</v>
      </c>
      <c r="B5" s="55" t="n">
        <v>46244</v>
      </c>
      <c r="C5" s="56">
        <f>IFERROR(AVERAGEIFS(TPR_PRE!$F$3:$F$202,TPR_PRE!$B$3:$B$202,B5),"")</f>
        <v/>
      </c>
      <c r="D5" s="57">
        <f>IFERROR(COUNTIFS(Ausentismo_PRE!$B$3:$B$202,B5,Ausentismo_PRE!$E$3:$E$202,"No asistió")/(COUNTIFS(Ausentismo_PRE!$B$3:$B$202,B5,Ausentismo_PRE!$E$3:$E$202,"No asistió")+COUNTIFS(Ausentismo_PRE!$B$3:$B$202,B5,Ausentismo_PRE!$E$3:$E$202,"Asistió")),"")</f>
        <v/>
      </c>
      <c r="E5" s="57">
        <f>IFERROR(COUNTIFS(Consultas_PRE!$B$3:$B$202,B5,Consultas_PRE!$F$3:$F$202,"Sí",Consultas_PRE!$G$3:$G$202,"No")/COUNTIFS(Consultas_PRE!$B$3:$B$202,B5),"")</f>
        <v/>
      </c>
      <c r="F5" s="55" t="n">
        <v>46279</v>
      </c>
      <c r="G5" s="56">
        <f>IFERROR(AVERAGEIFS(TPR_POST!$F$3:$F$202,TPR_POST!$B$3:$B$202,F5),"")</f>
        <v/>
      </c>
      <c r="H5" s="57">
        <f>IFERROR(COUNTIFS(Ausentismo_POST!$B$3:$B$202,F5,Ausentismo_POST!$E$3:$E$202,"No asistió")/(COUNTIFS(Ausentismo_POST!$B$3:$B$202,F5,Ausentismo_POST!$E$3:$E$202,"No asistió")+COUNTIFS(Ausentismo_POST!$B$3:$B$202,F5,Ausentismo_POST!$E$3:$E$202,"Asistió")),"")</f>
        <v/>
      </c>
      <c r="I5" s="57">
        <f>IFERROR(COUNTIFS(Consultas_POST!$B$3:$B$202,F5,Consultas_POST!$F$3:$F$202,"Sí",Consultas_POST!$G$3:$G$202,"No")/COUNTIFS(Consultas_POST!$B$3:$B$202,F5),"")</f>
        <v/>
      </c>
      <c r="J5" s="58">
        <f>COUNTIFS(TPR_PRE!$B$3:$B$202,B5,TPR_PRE!$F$3:$F$202,"&gt;=0")</f>
        <v/>
      </c>
      <c r="K5" s="58">
        <f>COUNTIFS(Ausentismo_PRE!$B$3:$B$202,B5,Ausentismo_PRE!$E$3:$E$202,"No asistió")+COUNTIFS(Ausentismo_PRE!$B$3:$B$202,B5,Ausentismo_PRE!$E$3:$E$202,"Asistió")</f>
        <v/>
      </c>
      <c r="L5" s="58">
        <f>COUNTIFS(Consultas_PRE!$B$3:$B$202,B5)</f>
        <v/>
      </c>
      <c r="M5" s="58">
        <f>COUNTIFS(TPR_POST!$B$3:$B$202,F5,TPR_POST!$F$3:$F$202,"&gt;=0")</f>
        <v/>
      </c>
      <c r="N5" s="58">
        <f>COUNTIFS(Ausentismo_POST!$B$3:$B$202,F5,Ausentismo_POST!$E$3:$E$202,"No asistió")+COUNTIFS(Ausentismo_POST!$B$3:$B$202,F5,Ausentismo_POST!$E$3:$E$202,"Asistió")</f>
        <v/>
      </c>
      <c r="O5" s="58">
        <f>COUNTIFS(Consultas_POST!$B$3:$B$202,F5)</f>
        <v/>
      </c>
      <c r="P5" s="58">
        <f>IF(AND(J5&gt;0,M5&gt;0),"Sí","No")</f>
        <v/>
      </c>
      <c r="Q5" s="58">
        <f>IF(AND(K5&gt;0,N5&gt;0),"Sí","No")</f>
        <v/>
      </c>
      <c r="R5" s="58">
        <f>IF(AND(L5&gt;0,O5&gt;0),"Sí","No")</f>
        <v/>
      </c>
      <c r="S5" s="58">
        <f>IF(WEEKDAY(B5)=WEEKDAY(F5),"Sí","No")</f>
        <v/>
      </c>
    </row>
    <row r="6" ht="15" customHeight="1" s="27">
      <c r="A6" s="39" t="n">
        <v>5</v>
      </c>
      <c r="B6" s="55" t="n">
        <v>46246</v>
      </c>
      <c r="C6" s="56">
        <f>IFERROR(AVERAGEIFS(TPR_PRE!$F$3:$F$202,TPR_PRE!$B$3:$B$202,B6),"")</f>
        <v/>
      </c>
      <c r="D6" s="57">
        <f>IFERROR(COUNTIFS(Ausentismo_PRE!$B$3:$B$202,B6,Ausentismo_PRE!$E$3:$E$202,"No asistió")/(COUNTIFS(Ausentismo_PRE!$B$3:$B$202,B6,Ausentismo_PRE!$E$3:$E$202,"No asistió")+COUNTIFS(Ausentismo_PRE!$B$3:$B$202,B6,Ausentismo_PRE!$E$3:$E$202,"Asistió")),"")</f>
        <v/>
      </c>
      <c r="E6" s="57">
        <f>IFERROR(COUNTIFS(Consultas_PRE!$B$3:$B$202,B6,Consultas_PRE!$F$3:$F$202,"Sí",Consultas_PRE!$G$3:$G$202,"No")/COUNTIFS(Consultas_PRE!$B$3:$B$202,B6),"")</f>
        <v/>
      </c>
      <c r="F6" s="55" t="n">
        <v>46274</v>
      </c>
      <c r="G6" s="56">
        <f>IFERROR(AVERAGEIFS(TPR_POST!$F$3:$F$202,TPR_POST!$B$3:$B$202,F6),"")</f>
        <v/>
      </c>
      <c r="H6" s="57">
        <f>IFERROR(COUNTIFS(Ausentismo_POST!$B$3:$B$202,F6,Ausentismo_POST!$E$3:$E$202,"No asistió")/(COUNTIFS(Ausentismo_POST!$B$3:$B$202,F6,Ausentismo_POST!$E$3:$E$202,"No asistió")+COUNTIFS(Ausentismo_POST!$B$3:$B$202,F6,Ausentismo_POST!$E$3:$E$202,"Asistió")),"")</f>
        <v/>
      </c>
      <c r="I6" s="57">
        <f>IFERROR(COUNTIFS(Consultas_POST!$B$3:$B$202,F6,Consultas_POST!$F$3:$F$202,"Sí",Consultas_POST!$G$3:$G$202,"No")/COUNTIFS(Consultas_POST!$B$3:$B$202,F6),"")</f>
        <v/>
      </c>
      <c r="J6" s="58">
        <f>COUNTIFS(TPR_PRE!$B$3:$B$202,B6,TPR_PRE!$F$3:$F$202,"&gt;=0")</f>
        <v/>
      </c>
      <c r="K6" s="58">
        <f>COUNTIFS(Ausentismo_PRE!$B$3:$B$202,B6,Ausentismo_PRE!$E$3:$E$202,"No asistió")+COUNTIFS(Ausentismo_PRE!$B$3:$B$202,B6,Ausentismo_PRE!$E$3:$E$202,"Asistió")</f>
        <v/>
      </c>
      <c r="L6" s="58">
        <f>COUNTIFS(Consultas_PRE!$B$3:$B$202,B6)</f>
        <v/>
      </c>
      <c r="M6" s="58">
        <f>COUNTIFS(TPR_POST!$B$3:$B$202,F6,TPR_POST!$F$3:$F$202,"&gt;=0")</f>
        <v/>
      </c>
      <c r="N6" s="58">
        <f>COUNTIFS(Ausentismo_POST!$B$3:$B$202,F6,Ausentismo_POST!$E$3:$E$202,"No asistió")+COUNTIFS(Ausentismo_POST!$B$3:$B$202,F6,Ausentismo_POST!$E$3:$E$202,"Asistió")</f>
        <v/>
      </c>
      <c r="O6" s="58">
        <f>COUNTIFS(Consultas_POST!$B$3:$B$202,F6)</f>
        <v/>
      </c>
      <c r="P6" s="58">
        <f>IF(AND(J6&gt;0,M6&gt;0),"Sí","No")</f>
        <v/>
      </c>
      <c r="Q6" s="58">
        <f>IF(AND(K6&gt;0,N6&gt;0),"Sí","No")</f>
        <v/>
      </c>
      <c r="R6" s="58">
        <f>IF(AND(L6&gt;0,O6&gt;0),"Sí","No")</f>
        <v/>
      </c>
      <c r="S6" s="58">
        <f>IF(WEEKDAY(B6)=WEEKDAY(F6),"Sí","No")</f>
        <v/>
      </c>
    </row>
    <row r="7" ht="15" customHeight="1" s="27">
      <c r="A7" s="39" t="n">
        <v>6</v>
      </c>
      <c r="B7" s="55" t="n">
        <v>46248</v>
      </c>
      <c r="C7" s="56">
        <f>IFERROR(AVERAGEIFS(TPR_PRE!$F$3:$F$202,TPR_PRE!$B$3:$B$202,B7),"")</f>
        <v/>
      </c>
      <c r="D7" s="57">
        <f>IFERROR(COUNTIFS(Ausentismo_PRE!$B$3:$B$202,B7,Ausentismo_PRE!$E$3:$E$202,"No asistió")/(COUNTIFS(Ausentismo_PRE!$B$3:$B$202,B7,Ausentismo_PRE!$E$3:$E$202,"No asistió")+COUNTIFS(Ausentismo_PRE!$B$3:$B$202,B7,Ausentismo_PRE!$E$3:$E$202,"Asistió")),"")</f>
        <v/>
      </c>
      <c r="E7" s="57">
        <f>IFERROR(COUNTIFS(Consultas_PRE!$B$3:$B$202,B7,Consultas_PRE!$F$3:$F$202,"Sí",Consultas_PRE!$G$3:$G$202,"No")/COUNTIFS(Consultas_PRE!$B$3:$B$202,B7),"")</f>
        <v/>
      </c>
      <c r="F7" s="55" t="n">
        <v>46276</v>
      </c>
      <c r="G7" s="56">
        <f>IFERROR(AVERAGEIFS(TPR_POST!$F$3:$F$202,TPR_POST!$B$3:$B$202,F7),"")</f>
        <v/>
      </c>
      <c r="H7" s="57">
        <f>IFERROR(COUNTIFS(Ausentismo_POST!$B$3:$B$202,F7,Ausentismo_POST!$E$3:$E$202,"No asistió")/(COUNTIFS(Ausentismo_POST!$B$3:$B$202,F7,Ausentismo_POST!$E$3:$E$202,"No asistió")+COUNTIFS(Ausentismo_POST!$B$3:$B$202,F7,Ausentismo_POST!$E$3:$E$202,"Asistió")),"")</f>
        <v/>
      </c>
      <c r="I7" s="57">
        <f>IFERROR(COUNTIFS(Consultas_POST!$B$3:$B$202,F7,Consultas_POST!$F$3:$F$202,"Sí",Consultas_POST!$G$3:$G$202,"No")/COUNTIFS(Consultas_POST!$B$3:$B$202,F7),"")</f>
        <v/>
      </c>
      <c r="J7" s="58">
        <f>COUNTIFS(TPR_PRE!$B$3:$B$202,B7,TPR_PRE!$F$3:$F$202,"&gt;=0")</f>
        <v/>
      </c>
      <c r="K7" s="58">
        <f>COUNTIFS(Ausentismo_PRE!$B$3:$B$202,B7,Ausentismo_PRE!$E$3:$E$202,"No asistió")+COUNTIFS(Ausentismo_PRE!$B$3:$B$202,B7,Ausentismo_PRE!$E$3:$E$202,"Asistió")</f>
        <v/>
      </c>
      <c r="L7" s="58">
        <f>COUNTIFS(Consultas_PRE!$B$3:$B$202,B7)</f>
        <v/>
      </c>
      <c r="M7" s="58">
        <f>COUNTIFS(TPR_POST!$B$3:$B$202,F7,TPR_POST!$F$3:$F$202,"&gt;=0")</f>
        <v/>
      </c>
      <c r="N7" s="58">
        <f>COUNTIFS(Ausentismo_POST!$B$3:$B$202,F7,Ausentismo_POST!$E$3:$E$202,"No asistió")+COUNTIFS(Ausentismo_POST!$B$3:$B$202,F7,Ausentismo_POST!$E$3:$E$202,"Asistió")</f>
        <v/>
      </c>
      <c r="O7" s="58">
        <f>COUNTIFS(Consultas_POST!$B$3:$B$202,F7)</f>
        <v/>
      </c>
      <c r="P7" s="58">
        <f>IF(AND(J7&gt;0,M7&gt;0),"Sí","No")</f>
        <v/>
      </c>
      <c r="Q7" s="58">
        <f>IF(AND(K7&gt;0,N7&gt;0),"Sí","No")</f>
        <v/>
      </c>
      <c r="R7" s="58">
        <f>IF(AND(L7&gt;0,O7&gt;0),"Sí","No")</f>
        <v/>
      </c>
      <c r="S7" s="58">
        <f>IF(WEEKDAY(B7)=WEEKDAY(F7),"Sí","No")</f>
        <v/>
      </c>
    </row>
    <row r="8" ht="15" customHeight="1" s="27">
      <c r="A8" s="39" t="n">
        <v>7</v>
      </c>
      <c r="B8" s="55" t="n">
        <v>46251</v>
      </c>
      <c r="C8" s="56">
        <f>IFERROR(AVERAGEIFS(TPR_PRE!$F$3:$F$202,TPR_PRE!$B$3:$B$202,B8),"")</f>
        <v/>
      </c>
      <c r="D8" s="57">
        <f>IFERROR(COUNTIFS(Ausentismo_PRE!$B$3:$B$202,B8,Ausentismo_PRE!$E$3:$E$202,"No asistió")/(COUNTIFS(Ausentismo_PRE!$B$3:$B$202,B8,Ausentismo_PRE!$E$3:$E$202,"No asistió")+COUNTIFS(Ausentismo_PRE!$B$3:$B$202,B8,Ausentismo_PRE!$E$3:$E$202,"Asistió")),"")</f>
        <v/>
      </c>
      <c r="E8" s="57">
        <f>IFERROR(COUNTIFS(Consultas_PRE!$B$3:$B$202,B8,Consultas_PRE!$F$3:$F$202,"Sí",Consultas_PRE!$G$3:$G$202,"No")/COUNTIFS(Consultas_PRE!$B$3:$B$202,B8),"")</f>
        <v/>
      </c>
      <c r="F8" s="55" t="n">
        <v>46286</v>
      </c>
      <c r="G8" s="56">
        <f>IFERROR(AVERAGEIFS(TPR_POST!$F$3:$F$202,TPR_POST!$B$3:$B$202,F8),"")</f>
        <v/>
      </c>
      <c r="H8" s="57">
        <f>IFERROR(COUNTIFS(Ausentismo_POST!$B$3:$B$202,F8,Ausentismo_POST!$E$3:$E$202,"No asistió")/(COUNTIFS(Ausentismo_POST!$B$3:$B$202,F8,Ausentismo_POST!$E$3:$E$202,"No asistió")+COUNTIFS(Ausentismo_POST!$B$3:$B$202,F8,Ausentismo_POST!$E$3:$E$202,"Asistió")),"")</f>
        <v/>
      </c>
      <c r="I8" s="57">
        <f>IFERROR(COUNTIFS(Consultas_POST!$B$3:$B$202,F8,Consultas_POST!$F$3:$F$202,"Sí",Consultas_POST!$G$3:$G$202,"No")/COUNTIFS(Consultas_POST!$B$3:$B$202,F8),"")</f>
        <v/>
      </c>
      <c r="J8" s="58">
        <f>COUNTIFS(TPR_PRE!$B$3:$B$202,B8,TPR_PRE!$F$3:$F$202,"&gt;=0")</f>
        <v/>
      </c>
      <c r="K8" s="58">
        <f>COUNTIFS(Ausentismo_PRE!$B$3:$B$202,B8,Ausentismo_PRE!$E$3:$E$202,"No asistió")+COUNTIFS(Ausentismo_PRE!$B$3:$B$202,B8,Ausentismo_PRE!$E$3:$E$202,"Asistió")</f>
        <v/>
      </c>
      <c r="L8" s="58">
        <f>COUNTIFS(Consultas_PRE!$B$3:$B$202,B8)</f>
        <v/>
      </c>
      <c r="M8" s="58">
        <f>COUNTIFS(TPR_POST!$B$3:$B$202,F8,TPR_POST!$F$3:$F$202,"&gt;=0")</f>
        <v/>
      </c>
      <c r="N8" s="58">
        <f>COUNTIFS(Ausentismo_POST!$B$3:$B$202,F8,Ausentismo_POST!$E$3:$E$202,"No asistió")+COUNTIFS(Ausentismo_POST!$B$3:$B$202,F8,Ausentismo_POST!$E$3:$E$202,"Asistió")</f>
        <v/>
      </c>
      <c r="O8" s="58">
        <f>COUNTIFS(Consultas_POST!$B$3:$B$202,F8)</f>
        <v/>
      </c>
      <c r="P8" s="58">
        <f>IF(AND(J8&gt;0,M8&gt;0),"Sí","No")</f>
        <v/>
      </c>
      <c r="Q8" s="58">
        <f>IF(AND(K8&gt;0,N8&gt;0),"Sí","No")</f>
        <v/>
      </c>
      <c r="R8" s="58">
        <f>IF(AND(L8&gt;0,O8&gt;0),"Sí","No")</f>
        <v/>
      </c>
      <c r="S8" s="58">
        <f>IF(WEEKDAY(B8)=WEEKDAY(F8),"Sí","No")</f>
        <v/>
      </c>
    </row>
    <row r="9" ht="15" customHeight="1" s="27">
      <c r="A9" s="39" t="n">
        <v>8</v>
      </c>
      <c r="B9" s="55" t="n">
        <v>46253</v>
      </c>
      <c r="C9" s="56">
        <f>IFERROR(AVERAGEIFS(TPR_PRE!$F$3:$F$202,TPR_PRE!$B$3:$B$202,B9),"")</f>
        <v/>
      </c>
      <c r="D9" s="57">
        <f>IFERROR(COUNTIFS(Ausentismo_PRE!$B$3:$B$202,B9,Ausentismo_PRE!$E$3:$E$202,"No asistió")/(COUNTIFS(Ausentismo_PRE!$B$3:$B$202,B9,Ausentismo_PRE!$E$3:$E$202,"No asistió")+COUNTIFS(Ausentismo_PRE!$B$3:$B$202,B9,Ausentismo_PRE!$E$3:$E$202,"Asistió")),"")</f>
        <v/>
      </c>
      <c r="E9" s="57">
        <f>IFERROR(COUNTIFS(Consultas_PRE!$B$3:$B$202,B9,Consultas_PRE!$F$3:$F$202,"Sí",Consultas_PRE!$G$3:$G$202,"No")/COUNTIFS(Consultas_PRE!$B$3:$B$202,B9),"")</f>
        <v/>
      </c>
      <c r="F9" s="55" t="n">
        <v>46281</v>
      </c>
      <c r="G9" s="56">
        <f>IFERROR(AVERAGEIFS(TPR_POST!$F$3:$F$202,TPR_POST!$B$3:$B$202,F9),"")</f>
        <v/>
      </c>
      <c r="H9" s="57">
        <f>IFERROR(COUNTIFS(Ausentismo_POST!$B$3:$B$202,F9,Ausentismo_POST!$E$3:$E$202,"No asistió")/(COUNTIFS(Ausentismo_POST!$B$3:$B$202,F9,Ausentismo_POST!$E$3:$E$202,"No asistió")+COUNTIFS(Ausentismo_POST!$B$3:$B$202,F9,Ausentismo_POST!$E$3:$E$202,"Asistió")),"")</f>
        <v/>
      </c>
      <c r="I9" s="57">
        <f>IFERROR(COUNTIFS(Consultas_POST!$B$3:$B$202,F9,Consultas_POST!$F$3:$F$202,"Sí",Consultas_POST!$G$3:$G$202,"No")/COUNTIFS(Consultas_POST!$B$3:$B$202,F9),"")</f>
        <v/>
      </c>
      <c r="J9" s="58">
        <f>COUNTIFS(TPR_PRE!$B$3:$B$202,B9,TPR_PRE!$F$3:$F$202,"&gt;=0")</f>
        <v/>
      </c>
      <c r="K9" s="58">
        <f>COUNTIFS(Ausentismo_PRE!$B$3:$B$202,B9,Ausentismo_PRE!$E$3:$E$202,"No asistió")+COUNTIFS(Ausentismo_PRE!$B$3:$B$202,B9,Ausentismo_PRE!$E$3:$E$202,"Asistió")</f>
        <v/>
      </c>
      <c r="L9" s="58">
        <f>COUNTIFS(Consultas_PRE!$B$3:$B$202,B9)</f>
        <v/>
      </c>
      <c r="M9" s="58">
        <f>COUNTIFS(TPR_POST!$B$3:$B$202,F9,TPR_POST!$F$3:$F$202,"&gt;=0")</f>
        <v/>
      </c>
      <c r="N9" s="58">
        <f>COUNTIFS(Ausentismo_POST!$B$3:$B$202,F9,Ausentismo_POST!$E$3:$E$202,"No asistió")+COUNTIFS(Ausentismo_POST!$B$3:$B$202,F9,Ausentismo_POST!$E$3:$E$202,"Asistió")</f>
        <v/>
      </c>
      <c r="O9" s="58">
        <f>COUNTIFS(Consultas_POST!$B$3:$B$202,F9)</f>
        <v/>
      </c>
      <c r="P9" s="58">
        <f>IF(AND(J9&gt;0,M9&gt;0),"Sí","No")</f>
        <v/>
      </c>
      <c r="Q9" s="58">
        <f>IF(AND(K9&gt;0,N9&gt;0),"Sí","No")</f>
        <v/>
      </c>
      <c r="R9" s="58">
        <f>IF(AND(L9&gt;0,O9&gt;0),"Sí","No")</f>
        <v/>
      </c>
      <c r="S9" s="58">
        <f>IF(WEEKDAY(B9)=WEEKDAY(F9),"Sí","No")</f>
        <v/>
      </c>
    </row>
    <row r="10" ht="15" customHeight="1" s="27">
      <c r="A10" s="39" t="n">
        <v>9</v>
      </c>
      <c r="B10" s="55" t="n">
        <v>46255</v>
      </c>
      <c r="C10" s="56">
        <f>IFERROR(AVERAGEIFS(TPR_PRE!$F$3:$F$202,TPR_PRE!$B$3:$B$202,B10),"")</f>
        <v/>
      </c>
      <c r="D10" s="57">
        <f>IFERROR(COUNTIFS(Ausentismo_PRE!$B$3:$B$202,B10,Ausentismo_PRE!$E$3:$E$202,"No asistió")/(COUNTIFS(Ausentismo_PRE!$B$3:$B$202,B10,Ausentismo_PRE!$E$3:$E$202,"No asistió")+COUNTIFS(Ausentismo_PRE!$B$3:$B$202,B10,Ausentismo_PRE!$E$3:$E$202,"Asistió")),"")</f>
        <v/>
      </c>
      <c r="E10" s="57">
        <f>IFERROR(COUNTIFS(Consultas_PRE!$B$3:$B$202,B10,Consultas_PRE!$F$3:$F$202,"Sí",Consultas_PRE!$G$3:$G$202,"No")/COUNTIFS(Consultas_PRE!$B$3:$B$202,B10),"")</f>
        <v/>
      </c>
      <c r="F10" s="55" t="n">
        <v>46283</v>
      </c>
      <c r="G10" s="56">
        <f>IFERROR(AVERAGEIFS(TPR_POST!$F$3:$F$202,TPR_POST!$B$3:$B$202,F10),"")</f>
        <v/>
      </c>
      <c r="H10" s="57">
        <f>IFERROR(COUNTIFS(Ausentismo_POST!$B$3:$B$202,F10,Ausentismo_POST!$E$3:$E$202,"No asistió")/(COUNTIFS(Ausentismo_POST!$B$3:$B$202,F10,Ausentismo_POST!$E$3:$E$202,"No asistió")+COUNTIFS(Ausentismo_POST!$B$3:$B$202,F10,Ausentismo_POST!$E$3:$E$202,"Asistió")),"")</f>
        <v/>
      </c>
      <c r="I10" s="57">
        <f>IFERROR(COUNTIFS(Consultas_POST!$B$3:$B$202,F10,Consultas_POST!$F$3:$F$202,"Sí",Consultas_POST!$G$3:$G$202,"No")/COUNTIFS(Consultas_POST!$B$3:$B$202,F10),"")</f>
        <v/>
      </c>
      <c r="J10" s="58">
        <f>COUNTIFS(TPR_PRE!$B$3:$B$202,B10,TPR_PRE!$F$3:$F$202,"&gt;=0")</f>
        <v/>
      </c>
      <c r="K10" s="58">
        <f>COUNTIFS(Ausentismo_PRE!$B$3:$B$202,B10,Ausentismo_PRE!$E$3:$E$202,"No asistió")+COUNTIFS(Ausentismo_PRE!$B$3:$B$202,B10,Ausentismo_PRE!$E$3:$E$202,"Asistió")</f>
        <v/>
      </c>
      <c r="L10" s="58">
        <f>COUNTIFS(Consultas_PRE!$B$3:$B$202,B10)</f>
        <v/>
      </c>
      <c r="M10" s="58">
        <f>COUNTIFS(TPR_POST!$B$3:$B$202,F10,TPR_POST!$F$3:$F$202,"&gt;=0")</f>
        <v/>
      </c>
      <c r="N10" s="58">
        <f>COUNTIFS(Ausentismo_POST!$B$3:$B$202,F10,Ausentismo_POST!$E$3:$E$202,"No asistió")+COUNTIFS(Ausentismo_POST!$B$3:$B$202,F10,Ausentismo_POST!$E$3:$E$202,"Asistió")</f>
        <v/>
      </c>
      <c r="O10" s="58">
        <f>COUNTIFS(Consultas_POST!$B$3:$B$202,F10)</f>
        <v/>
      </c>
      <c r="P10" s="58">
        <f>IF(AND(J10&gt;0,M10&gt;0),"Sí","No")</f>
        <v/>
      </c>
      <c r="Q10" s="58">
        <f>IF(AND(K10&gt;0,N10&gt;0),"Sí","No")</f>
        <v/>
      </c>
      <c r="R10" s="58">
        <f>IF(AND(L10&gt;0,O10&gt;0),"Sí","No")</f>
        <v/>
      </c>
      <c r="S10" s="58">
        <f>IF(WEEKDAY(B10)=WEEKDAY(F10),"Sí","No")</f>
        <v/>
      </c>
    </row>
    <row r="11" ht="15" customHeight="1" s="27">
      <c r="A11" s="39" t="n">
        <v>10</v>
      </c>
      <c r="B11" s="55" t="n">
        <v>46258</v>
      </c>
      <c r="C11" s="56">
        <f>IFERROR(AVERAGEIFS(TPR_PRE!$F$3:$F$202,TPR_PRE!$B$3:$B$202,B11),"")</f>
        <v/>
      </c>
      <c r="D11" s="57">
        <f>IFERROR(COUNTIFS(Ausentismo_PRE!$B$3:$B$202,B11,Ausentismo_PRE!$E$3:$E$202,"No asistió")/(COUNTIFS(Ausentismo_PRE!$B$3:$B$202,B11,Ausentismo_PRE!$E$3:$E$202,"No asistió")+COUNTIFS(Ausentismo_PRE!$B$3:$B$202,B11,Ausentismo_PRE!$E$3:$E$202,"Asistió")),"")</f>
        <v/>
      </c>
      <c r="E11" s="57">
        <f>IFERROR(COUNTIFS(Consultas_PRE!$B$3:$B$202,B11,Consultas_PRE!$F$3:$F$202,"Sí",Consultas_PRE!$G$3:$G$202,"No")/COUNTIFS(Consultas_PRE!$B$3:$B$202,B11),"")</f>
        <v/>
      </c>
      <c r="F11" s="55" t="n">
        <v>46293</v>
      </c>
      <c r="G11" s="56">
        <f>IFERROR(AVERAGEIFS(TPR_POST!$F$3:$F$202,TPR_POST!$B$3:$B$202,F11),"")</f>
        <v/>
      </c>
      <c r="H11" s="57">
        <f>IFERROR(COUNTIFS(Ausentismo_POST!$B$3:$B$202,F11,Ausentismo_POST!$E$3:$E$202,"No asistió")/(COUNTIFS(Ausentismo_POST!$B$3:$B$202,F11,Ausentismo_POST!$E$3:$E$202,"No asistió")+COUNTIFS(Ausentismo_POST!$B$3:$B$202,F11,Ausentismo_POST!$E$3:$E$202,"Asistió")),"")</f>
        <v/>
      </c>
      <c r="I11" s="57">
        <f>IFERROR(COUNTIFS(Consultas_POST!$B$3:$B$202,F11,Consultas_POST!$F$3:$F$202,"Sí",Consultas_POST!$G$3:$G$202,"No")/COUNTIFS(Consultas_POST!$B$3:$B$202,F11),"")</f>
        <v/>
      </c>
      <c r="J11" s="58">
        <f>COUNTIFS(TPR_PRE!$B$3:$B$202,B11,TPR_PRE!$F$3:$F$202,"&gt;=0")</f>
        <v/>
      </c>
      <c r="K11" s="58">
        <f>COUNTIFS(Ausentismo_PRE!$B$3:$B$202,B11,Ausentismo_PRE!$E$3:$E$202,"No asistió")+COUNTIFS(Ausentismo_PRE!$B$3:$B$202,B11,Ausentismo_PRE!$E$3:$E$202,"Asistió")</f>
        <v/>
      </c>
      <c r="L11" s="58">
        <f>COUNTIFS(Consultas_PRE!$B$3:$B$202,B11)</f>
        <v/>
      </c>
      <c r="M11" s="58">
        <f>COUNTIFS(TPR_POST!$B$3:$B$202,F11,TPR_POST!$F$3:$F$202,"&gt;=0")</f>
        <v/>
      </c>
      <c r="N11" s="58">
        <f>COUNTIFS(Ausentismo_POST!$B$3:$B$202,F11,Ausentismo_POST!$E$3:$E$202,"No asistió")+COUNTIFS(Ausentismo_POST!$B$3:$B$202,F11,Ausentismo_POST!$E$3:$E$202,"Asistió")</f>
        <v/>
      </c>
      <c r="O11" s="58">
        <f>COUNTIFS(Consultas_POST!$B$3:$B$202,F11)</f>
        <v/>
      </c>
      <c r="P11" s="58">
        <f>IF(AND(J11&gt;0,M11&gt;0),"Sí","No")</f>
        <v/>
      </c>
      <c r="Q11" s="58">
        <f>IF(AND(K11&gt;0,N11&gt;0),"Sí","No")</f>
        <v/>
      </c>
      <c r="R11" s="58">
        <f>IF(AND(L11&gt;0,O11&gt;0),"Sí","No")</f>
        <v/>
      </c>
      <c r="S11" s="58">
        <f>IF(WEEKDAY(B11)=WEEKDAY(F11),"Sí","No")</f>
        <v/>
      </c>
    </row>
    <row r="12" ht="15" customHeight="1" s="27">
      <c r="A12" s="39" t="n">
        <v>11</v>
      </c>
      <c r="B12" s="55" t="n">
        <v>46260</v>
      </c>
      <c r="C12" s="56">
        <f>IFERROR(AVERAGEIFS(TPR_PRE!$F$3:$F$202,TPR_PRE!$B$3:$B$202,B12),"")</f>
        <v/>
      </c>
      <c r="D12" s="57">
        <f>IFERROR(COUNTIFS(Ausentismo_PRE!$B$3:$B$202,B12,Ausentismo_PRE!$E$3:$E$202,"No asistió")/(COUNTIFS(Ausentismo_PRE!$B$3:$B$202,B12,Ausentismo_PRE!$E$3:$E$202,"No asistió")+COUNTIFS(Ausentismo_PRE!$B$3:$B$202,B12,Ausentismo_PRE!$E$3:$E$202,"Asistió")),"")</f>
        <v/>
      </c>
      <c r="E12" s="57">
        <f>IFERROR(COUNTIFS(Consultas_PRE!$B$3:$B$202,B12,Consultas_PRE!$F$3:$F$202,"Sí",Consultas_PRE!$G$3:$G$202,"No")/COUNTIFS(Consultas_PRE!$B$3:$B$202,B12),"")</f>
        <v/>
      </c>
      <c r="F12" s="55" t="n">
        <v>46288</v>
      </c>
      <c r="G12" s="56">
        <f>IFERROR(AVERAGEIFS(TPR_POST!$F$3:$F$202,TPR_POST!$B$3:$B$202,F12),"")</f>
        <v/>
      </c>
      <c r="H12" s="57">
        <f>IFERROR(COUNTIFS(Ausentismo_POST!$B$3:$B$202,F12,Ausentismo_POST!$E$3:$E$202,"No asistió")/(COUNTIFS(Ausentismo_POST!$B$3:$B$202,F12,Ausentismo_POST!$E$3:$E$202,"No asistió")+COUNTIFS(Ausentismo_POST!$B$3:$B$202,F12,Ausentismo_POST!$E$3:$E$202,"Asistió")),"")</f>
        <v/>
      </c>
      <c r="I12" s="57">
        <f>IFERROR(COUNTIFS(Consultas_POST!$B$3:$B$202,F12,Consultas_POST!$F$3:$F$202,"Sí",Consultas_POST!$G$3:$G$202,"No")/COUNTIFS(Consultas_POST!$B$3:$B$202,F12),"")</f>
        <v/>
      </c>
      <c r="J12" s="58">
        <f>COUNTIFS(TPR_PRE!$B$3:$B$202,B12,TPR_PRE!$F$3:$F$202,"&gt;=0")</f>
        <v/>
      </c>
      <c r="K12" s="58">
        <f>COUNTIFS(Ausentismo_PRE!$B$3:$B$202,B12,Ausentismo_PRE!$E$3:$E$202,"No asistió")+COUNTIFS(Ausentismo_PRE!$B$3:$B$202,B12,Ausentismo_PRE!$E$3:$E$202,"Asistió")</f>
        <v/>
      </c>
      <c r="L12" s="58">
        <f>COUNTIFS(Consultas_PRE!$B$3:$B$202,B12)</f>
        <v/>
      </c>
      <c r="M12" s="58">
        <f>COUNTIFS(TPR_POST!$B$3:$B$202,F12,TPR_POST!$F$3:$F$202,"&gt;=0")</f>
        <v/>
      </c>
      <c r="N12" s="58">
        <f>COUNTIFS(Ausentismo_POST!$B$3:$B$202,F12,Ausentismo_POST!$E$3:$E$202,"No asistió")+COUNTIFS(Ausentismo_POST!$B$3:$B$202,F12,Ausentismo_POST!$E$3:$E$202,"Asistió")</f>
        <v/>
      </c>
      <c r="O12" s="58">
        <f>COUNTIFS(Consultas_POST!$B$3:$B$202,F12)</f>
        <v/>
      </c>
      <c r="P12" s="58">
        <f>IF(AND(J12&gt;0,M12&gt;0),"Sí","No")</f>
        <v/>
      </c>
      <c r="Q12" s="58">
        <f>IF(AND(K12&gt;0,N12&gt;0),"Sí","No")</f>
        <v/>
      </c>
      <c r="R12" s="58">
        <f>IF(AND(L12&gt;0,O12&gt;0),"Sí","No")</f>
        <v/>
      </c>
      <c r="S12" s="58">
        <f>IF(WEEKDAY(B12)=WEEKDAY(F12),"Sí","No")</f>
        <v/>
      </c>
    </row>
    <row r="13" ht="15" customHeight="1" s="27">
      <c r="A13" s="39" t="n">
        <v>12</v>
      </c>
      <c r="B13" s="55" t="n">
        <v>46262</v>
      </c>
      <c r="C13" s="56">
        <f>IFERROR(AVERAGEIFS(TPR_PRE!$F$3:$F$202,TPR_PRE!$B$3:$B$202,B13),"")</f>
        <v/>
      </c>
      <c r="D13" s="57">
        <f>IFERROR(COUNTIFS(Ausentismo_PRE!$B$3:$B$202,B13,Ausentismo_PRE!$E$3:$E$202,"No asistió")/(COUNTIFS(Ausentismo_PRE!$B$3:$B$202,B13,Ausentismo_PRE!$E$3:$E$202,"No asistió")+COUNTIFS(Ausentismo_PRE!$B$3:$B$202,B13,Ausentismo_PRE!$E$3:$E$202,"Asistió")),"")</f>
        <v/>
      </c>
      <c r="E13" s="57">
        <f>IFERROR(COUNTIFS(Consultas_PRE!$B$3:$B$202,B13,Consultas_PRE!$F$3:$F$202,"Sí",Consultas_PRE!$G$3:$G$202,"No")/COUNTIFS(Consultas_PRE!$B$3:$B$202,B13),"")</f>
        <v/>
      </c>
      <c r="F13" s="55" t="n">
        <v>46290</v>
      </c>
      <c r="G13" s="56">
        <f>IFERROR(AVERAGEIFS(TPR_POST!$F$3:$F$202,TPR_POST!$B$3:$B$202,F13),"")</f>
        <v/>
      </c>
      <c r="H13" s="57">
        <f>IFERROR(COUNTIFS(Ausentismo_POST!$B$3:$B$202,F13,Ausentismo_POST!$E$3:$E$202,"No asistió")/(COUNTIFS(Ausentismo_POST!$B$3:$B$202,F13,Ausentismo_POST!$E$3:$E$202,"No asistió")+COUNTIFS(Ausentismo_POST!$B$3:$B$202,F13,Ausentismo_POST!$E$3:$E$202,"Asistió")),"")</f>
        <v/>
      </c>
      <c r="I13" s="57">
        <f>IFERROR(COUNTIFS(Consultas_POST!$B$3:$B$202,F13,Consultas_POST!$F$3:$F$202,"Sí",Consultas_POST!$G$3:$G$202,"No")/COUNTIFS(Consultas_POST!$B$3:$B$202,F13),"")</f>
        <v/>
      </c>
      <c r="J13" s="58">
        <f>COUNTIFS(TPR_PRE!$B$3:$B$202,B13,TPR_PRE!$F$3:$F$202,"&gt;=0")</f>
        <v/>
      </c>
      <c r="K13" s="58">
        <f>COUNTIFS(Ausentismo_PRE!$B$3:$B$202,B13,Ausentismo_PRE!$E$3:$E$202,"No asistió")+COUNTIFS(Ausentismo_PRE!$B$3:$B$202,B13,Ausentismo_PRE!$E$3:$E$202,"Asistió")</f>
        <v/>
      </c>
      <c r="L13" s="58">
        <f>COUNTIFS(Consultas_PRE!$B$3:$B$202,B13)</f>
        <v/>
      </c>
      <c r="M13" s="58">
        <f>COUNTIFS(TPR_POST!$B$3:$B$202,F13,TPR_POST!$F$3:$F$202,"&gt;=0")</f>
        <v/>
      </c>
      <c r="N13" s="58">
        <f>COUNTIFS(Ausentismo_POST!$B$3:$B$202,F13,Ausentismo_POST!$E$3:$E$202,"No asistió")+COUNTIFS(Ausentismo_POST!$B$3:$B$202,F13,Ausentismo_POST!$E$3:$E$202,"Asistió")</f>
        <v/>
      </c>
      <c r="O13" s="58">
        <f>COUNTIFS(Consultas_POST!$B$3:$B$202,F13)</f>
        <v/>
      </c>
      <c r="P13" s="58">
        <f>IF(AND(J13&gt;0,M13&gt;0),"Sí","No")</f>
        <v/>
      </c>
      <c r="Q13" s="58">
        <f>IF(AND(K13&gt;0,N13&gt;0),"Sí","No")</f>
        <v/>
      </c>
      <c r="R13" s="58">
        <f>IF(AND(L13&gt;0,O13&gt;0),"Sí","No")</f>
        <v/>
      </c>
      <c r="S13" s="58">
        <f>IF(WEEKDAY(B13)=WEEKDAY(F13),"Sí","No")</f>
        <v/>
      </c>
    </row>
    <row r="14" ht="15" customHeight="1" s="27">
      <c r="A14" s="39" t="n">
        <v>13</v>
      </c>
      <c r="B14" s="55" t="n">
        <v>46265</v>
      </c>
      <c r="C14" s="56">
        <f>IFERROR(AVERAGEIFS(TPR_PRE!$F$3:$F$202,TPR_PRE!$B$3:$B$202,B14),"")</f>
        <v/>
      </c>
      <c r="D14" s="57">
        <f>IFERROR(COUNTIFS(Ausentismo_PRE!$B$3:$B$202,B14,Ausentismo_PRE!$E$3:$E$202,"No asistió")/(COUNTIFS(Ausentismo_PRE!$B$3:$B$202,B14,Ausentismo_PRE!$E$3:$E$202,"No asistió")+COUNTIFS(Ausentismo_PRE!$B$3:$B$202,B14,Ausentismo_PRE!$E$3:$E$202,"Asistió")),"")</f>
        <v/>
      </c>
      <c r="E14" s="57">
        <f>IFERROR(COUNTIFS(Consultas_PRE!$B$3:$B$202,B14,Consultas_PRE!$F$3:$F$202,"Sí",Consultas_PRE!$G$3:$G$202,"No")/COUNTIFS(Consultas_PRE!$B$3:$B$202,B14),"")</f>
        <v/>
      </c>
      <c r="F14" s="55" t="n">
        <v>46295</v>
      </c>
      <c r="G14" s="56">
        <f>IFERROR(AVERAGEIFS(TPR_POST!$F$3:$F$202,TPR_POST!$B$3:$B$202,F14),"")</f>
        <v/>
      </c>
      <c r="H14" s="57">
        <f>IFERROR(COUNTIFS(Ausentismo_POST!$B$3:$B$202,F14,Ausentismo_POST!$E$3:$E$202,"No asistió")/(COUNTIFS(Ausentismo_POST!$B$3:$B$202,F14,Ausentismo_POST!$E$3:$E$202,"No asistió")+COUNTIFS(Ausentismo_POST!$B$3:$B$202,F14,Ausentismo_POST!$E$3:$E$202,"Asistió")),"")</f>
        <v/>
      </c>
      <c r="I14" s="57">
        <f>IFERROR(COUNTIFS(Consultas_POST!$B$3:$B$202,F14,Consultas_POST!$F$3:$F$202,"Sí",Consultas_POST!$G$3:$G$202,"No")/COUNTIFS(Consultas_POST!$B$3:$B$202,F14),"")</f>
        <v/>
      </c>
      <c r="J14" s="58">
        <f>COUNTIFS(TPR_PRE!$B$3:$B$202,B14,TPR_PRE!$F$3:$F$202,"&gt;=0")</f>
        <v/>
      </c>
      <c r="K14" s="58">
        <f>COUNTIFS(Ausentismo_PRE!$B$3:$B$202,B14,Ausentismo_PRE!$E$3:$E$202,"No asistió")+COUNTIFS(Ausentismo_PRE!$B$3:$B$202,B14,Ausentismo_PRE!$E$3:$E$202,"Asistió")</f>
        <v/>
      </c>
      <c r="L14" s="58">
        <f>COUNTIFS(Consultas_PRE!$B$3:$B$202,B14)</f>
        <v/>
      </c>
      <c r="M14" s="58">
        <f>COUNTIFS(TPR_POST!$B$3:$B$202,F14,TPR_POST!$F$3:$F$202,"&gt;=0")</f>
        <v/>
      </c>
      <c r="N14" s="58">
        <f>COUNTIFS(Ausentismo_POST!$B$3:$B$202,F14,Ausentismo_POST!$E$3:$E$202,"No asistió")+COUNTIFS(Ausentismo_POST!$B$3:$B$202,F14,Ausentismo_POST!$E$3:$E$202,"Asistió")</f>
        <v/>
      </c>
      <c r="O14" s="58">
        <f>COUNTIFS(Consultas_POST!$B$3:$B$202,F14)</f>
        <v/>
      </c>
      <c r="P14" s="58">
        <f>IF(AND(J14&gt;0,M14&gt;0),"Sí","No")</f>
        <v/>
      </c>
      <c r="Q14" s="58">
        <f>IF(AND(K14&gt;0,N14&gt;0),"Sí","No")</f>
        <v/>
      </c>
      <c r="R14" s="58">
        <f>IF(AND(L14&gt;0,O14&gt;0),"Sí","No")</f>
        <v/>
      </c>
      <c r="S14" s="58">
        <f>IF(WEEKDAY(B14)=WEEKDAY(F14),"Sí","No")</f>
        <v/>
      </c>
    </row>
    <row r="16" ht="15" customHeight="1" s="27">
      <c r="A16" s="34" t="inlineStr">
        <is>
          <t>Esta hoja se calcula automáticamente a partir de las hojas TPR/Ausentismo/Consultas PRE y POST. No editar manualmente.</t>
        </is>
      </c>
    </row>
  </sheetData>
  <mergeCells count="1"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27" min="1" max="1"/>
    <col width="6" customWidth="1" style="27" min="2" max="2"/>
    <col width="12" customWidth="1" style="27" min="3" max="3"/>
    <col width="16" customWidth="1" style="27" min="4" max="4"/>
    <col width="20" customWidth="1" style="27" min="5" max="5"/>
    <col width="10" customWidth="1" style="27" min="6" max="6"/>
    <col width="10" customWidth="1" style="27" min="7" max="7"/>
    <col width="10" customWidth="1" style="27" min="8" max="8"/>
    <col width="12" customWidth="1" style="27" min="9" max="9"/>
    <col width="50" customWidth="1" style="27" min="10" max="10"/>
  </cols>
  <sheetData>
    <row r="1" ht="42" customHeight="1" s="27">
      <c r="A1" s="66" t="inlineStr">
        <is>
          <t>Etapa</t>
        </is>
      </c>
      <c r="B1" s="66" t="inlineStr">
        <is>
          <t>Par</t>
        </is>
      </c>
      <c r="C1" s="66" t="inlineStr">
        <is>
          <t>Fecha</t>
        </is>
      </c>
      <c r="D1" s="66" t="inlineStr">
        <is>
          <t>Horario de observación</t>
        </is>
      </c>
      <c r="E1" s="66" t="inlineStr">
        <is>
          <t>Observador(es)</t>
        </is>
      </c>
      <c r="F1" s="66" t="inlineStr">
        <is>
          <t>Registros</t>
        </is>
      </c>
      <c r="G1" s="66" t="inlineStr">
        <is>
          <t>Citas elegibles</t>
        </is>
      </c>
      <c r="H1" s="66" t="inlineStr">
        <is>
          <t>Consultas</t>
        </is>
      </c>
      <c r="I1" s="66" t="inlineStr">
        <is>
          <t>¿Hubo atención normal?</t>
        </is>
      </c>
      <c r="J1" s="66" t="inlineStr">
        <is>
          <t>Incidencias (feriado, cierre, cambio de personal, falla del sistema)</t>
        </is>
      </c>
    </row>
    <row r="2">
      <c r="A2" s="67" t="inlineStr">
        <is>
          <t>PRE</t>
        </is>
      </c>
      <c r="B2" s="67" t="n">
        <v>1</v>
      </c>
      <c r="C2" s="70">
        <f>Sesiones!B2</f>
        <v/>
      </c>
      <c r="D2" s="68" t="inlineStr">
        <is>
          <t>08:30–13:00</t>
        </is>
      </c>
      <c r="E2" s="68" t="inlineStr">
        <is>
          <t>SIMULADO</t>
        </is>
      </c>
      <c r="F2" s="67">
        <f>Sesiones!J2</f>
        <v/>
      </c>
      <c r="G2" s="67">
        <f>Sesiones!K2</f>
        <v/>
      </c>
      <c r="H2" s="67">
        <f>Sesiones!L2</f>
        <v/>
      </c>
      <c r="I2" s="68" t="inlineStr">
        <is>
          <t>Sí</t>
        </is>
      </c>
      <c r="J2" s="68" t="inlineStr">
        <is>
          <t>SIMULADO</t>
        </is>
      </c>
    </row>
    <row r="3">
      <c r="A3" s="67" t="inlineStr">
        <is>
          <t>PRE</t>
        </is>
      </c>
      <c r="B3" s="67" t="n">
        <v>2</v>
      </c>
      <c r="C3" s="70">
        <f>Sesiones!B3</f>
        <v/>
      </c>
      <c r="D3" s="68" t="inlineStr">
        <is>
          <t>08:30–13:00</t>
        </is>
      </c>
      <c r="E3" s="68" t="inlineStr">
        <is>
          <t>SIMULADO</t>
        </is>
      </c>
      <c r="F3" s="67">
        <f>Sesiones!J3</f>
        <v/>
      </c>
      <c r="G3" s="67">
        <f>Sesiones!K3</f>
        <v/>
      </c>
      <c r="H3" s="67">
        <f>Sesiones!L3</f>
        <v/>
      </c>
      <c r="I3" s="68" t="inlineStr">
        <is>
          <t>Sí</t>
        </is>
      </c>
      <c r="J3" s="68" t="inlineStr">
        <is>
          <t>SIMULADO</t>
        </is>
      </c>
    </row>
    <row r="4">
      <c r="A4" s="67" t="inlineStr">
        <is>
          <t>PRE</t>
        </is>
      </c>
      <c r="B4" s="67" t="n">
        <v>3</v>
      </c>
      <c r="C4" s="70">
        <f>Sesiones!B4</f>
        <v/>
      </c>
      <c r="D4" s="68" t="inlineStr">
        <is>
          <t>08:30–13:00</t>
        </is>
      </c>
      <c r="E4" s="68" t="inlineStr">
        <is>
          <t>SIMULADO</t>
        </is>
      </c>
      <c r="F4" s="67">
        <f>Sesiones!J4</f>
        <v/>
      </c>
      <c r="G4" s="67">
        <f>Sesiones!K4</f>
        <v/>
      </c>
      <c r="H4" s="67">
        <f>Sesiones!L4</f>
        <v/>
      </c>
      <c r="I4" s="68" t="inlineStr">
        <is>
          <t>Sí</t>
        </is>
      </c>
      <c r="J4" s="68" t="inlineStr">
        <is>
          <t>SIMULADO</t>
        </is>
      </c>
    </row>
    <row r="5">
      <c r="A5" s="67" t="inlineStr">
        <is>
          <t>PRE</t>
        </is>
      </c>
      <c r="B5" s="67" t="n">
        <v>4</v>
      </c>
      <c r="C5" s="70">
        <f>Sesiones!B5</f>
        <v/>
      </c>
      <c r="D5" s="68" t="inlineStr">
        <is>
          <t>08:30–13:00</t>
        </is>
      </c>
      <c r="E5" s="68" t="inlineStr">
        <is>
          <t>SIMULADO</t>
        </is>
      </c>
      <c r="F5" s="67">
        <f>Sesiones!J5</f>
        <v/>
      </c>
      <c r="G5" s="67">
        <f>Sesiones!K5</f>
        <v/>
      </c>
      <c r="H5" s="67">
        <f>Sesiones!L5</f>
        <v/>
      </c>
      <c r="I5" s="68" t="inlineStr">
        <is>
          <t>Sí</t>
        </is>
      </c>
      <c r="J5" s="68" t="inlineStr">
        <is>
          <t>SIMULADO</t>
        </is>
      </c>
    </row>
    <row r="6">
      <c r="A6" s="67" t="inlineStr">
        <is>
          <t>PRE</t>
        </is>
      </c>
      <c r="B6" s="67" t="n">
        <v>5</v>
      </c>
      <c r="C6" s="70">
        <f>Sesiones!B6</f>
        <v/>
      </c>
      <c r="D6" s="68" t="inlineStr">
        <is>
          <t>08:30–13:00</t>
        </is>
      </c>
      <c r="E6" s="68" t="inlineStr">
        <is>
          <t>SIMULADO</t>
        </is>
      </c>
      <c r="F6" s="67">
        <f>Sesiones!J6</f>
        <v/>
      </c>
      <c r="G6" s="67">
        <f>Sesiones!K6</f>
        <v/>
      </c>
      <c r="H6" s="67">
        <f>Sesiones!L6</f>
        <v/>
      </c>
      <c r="I6" s="68" t="inlineStr">
        <is>
          <t>Sí</t>
        </is>
      </c>
      <c r="J6" s="68" t="inlineStr">
        <is>
          <t>SIMULADO: no hubo registros de pacientes nuevos en esta sesión</t>
        </is>
      </c>
    </row>
    <row r="7">
      <c r="A7" s="67" t="inlineStr">
        <is>
          <t>PRE</t>
        </is>
      </c>
      <c r="B7" s="67" t="n">
        <v>6</v>
      </c>
      <c r="C7" s="70">
        <f>Sesiones!B7</f>
        <v/>
      </c>
      <c r="D7" s="68" t="inlineStr">
        <is>
          <t>08:30–13:00</t>
        </is>
      </c>
      <c r="E7" s="68" t="inlineStr">
        <is>
          <t>SIMULADO</t>
        </is>
      </c>
      <c r="F7" s="67">
        <f>Sesiones!J7</f>
        <v/>
      </c>
      <c r="G7" s="67">
        <f>Sesiones!K7</f>
        <v/>
      </c>
      <c r="H7" s="67">
        <f>Sesiones!L7</f>
        <v/>
      </c>
      <c r="I7" s="68" t="inlineStr">
        <is>
          <t>Sí</t>
        </is>
      </c>
      <c r="J7" s="68" t="inlineStr">
        <is>
          <t>SIMULADO</t>
        </is>
      </c>
    </row>
    <row r="8">
      <c r="A8" s="67" t="inlineStr">
        <is>
          <t>PRE</t>
        </is>
      </c>
      <c r="B8" s="67" t="n">
        <v>7</v>
      </c>
      <c r="C8" s="70">
        <f>Sesiones!B8</f>
        <v/>
      </c>
      <c r="D8" s="68" t="inlineStr">
        <is>
          <t>08:30–13:00</t>
        </is>
      </c>
      <c r="E8" s="68" t="inlineStr">
        <is>
          <t>SIMULADO</t>
        </is>
      </c>
      <c r="F8" s="67">
        <f>Sesiones!J8</f>
        <v/>
      </c>
      <c r="G8" s="67">
        <f>Sesiones!K8</f>
        <v/>
      </c>
      <c r="H8" s="67">
        <f>Sesiones!L8</f>
        <v/>
      </c>
      <c r="I8" s="68" t="inlineStr">
        <is>
          <t>Sí</t>
        </is>
      </c>
      <c r="J8" s="68" t="inlineStr">
        <is>
          <t>SIMULADO</t>
        </is>
      </c>
    </row>
    <row r="9">
      <c r="A9" s="67" t="inlineStr">
        <is>
          <t>PRE</t>
        </is>
      </c>
      <c r="B9" s="67" t="n">
        <v>8</v>
      </c>
      <c r="C9" s="70">
        <f>Sesiones!B9</f>
        <v/>
      </c>
      <c r="D9" s="68" t="inlineStr">
        <is>
          <t>08:30–13:00</t>
        </is>
      </c>
      <c r="E9" s="68" t="inlineStr">
        <is>
          <t>SIMULADO</t>
        </is>
      </c>
      <c r="F9" s="67">
        <f>Sesiones!J9</f>
        <v/>
      </c>
      <c r="G9" s="67">
        <f>Sesiones!K9</f>
        <v/>
      </c>
      <c r="H9" s="67">
        <f>Sesiones!L9</f>
        <v/>
      </c>
      <c r="I9" s="68" t="inlineStr">
        <is>
          <t>Sí</t>
        </is>
      </c>
      <c r="J9" s="68" t="inlineStr">
        <is>
          <t>SIMULADO</t>
        </is>
      </c>
    </row>
    <row r="10">
      <c r="A10" s="67" t="inlineStr">
        <is>
          <t>PRE</t>
        </is>
      </c>
      <c r="B10" s="67" t="n">
        <v>9</v>
      </c>
      <c r="C10" s="70">
        <f>Sesiones!B10</f>
        <v/>
      </c>
      <c r="D10" s="68" t="inlineStr">
        <is>
          <t>08:30–13:00</t>
        </is>
      </c>
      <c r="E10" s="68" t="inlineStr">
        <is>
          <t>SIMULADO</t>
        </is>
      </c>
      <c r="F10" s="67">
        <f>Sesiones!J10</f>
        <v/>
      </c>
      <c r="G10" s="67">
        <f>Sesiones!K10</f>
        <v/>
      </c>
      <c r="H10" s="67">
        <f>Sesiones!L10</f>
        <v/>
      </c>
      <c r="I10" s="68" t="inlineStr">
        <is>
          <t>Sí</t>
        </is>
      </c>
      <c r="J10" s="68" t="inlineStr">
        <is>
          <t>SIMULADO</t>
        </is>
      </c>
    </row>
    <row r="11">
      <c r="A11" s="67" t="inlineStr">
        <is>
          <t>PRE</t>
        </is>
      </c>
      <c r="B11" s="67" t="n">
        <v>10</v>
      </c>
      <c r="C11" s="70">
        <f>Sesiones!B11</f>
        <v/>
      </c>
      <c r="D11" s="68" t="inlineStr">
        <is>
          <t>08:30–13:00</t>
        </is>
      </c>
      <c r="E11" s="68" t="inlineStr">
        <is>
          <t>SIMULADO</t>
        </is>
      </c>
      <c r="F11" s="67">
        <f>Sesiones!J11</f>
        <v/>
      </c>
      <c r="G11" s="67">
        <f>Sesiones!K11</f>
        <v/>
      </c>
      <c r="H11" s="67">
        <f>Sesiones!L11</f>
        <v/>
      </c>
      <c r="I11" s="68" t="inlineStr">
        <is>
          <t>Sí</t>
        </is>
      </c>
      <c r="J11" s="68" t="inlineStr">
        <is>
          <t>SIMULADO</t>
        </is>
      </c>
    </row>
    <row r="12">
      <c r="A12" s="67" t="inlineStr">
        <is>
          <t>PRE</t>
        </is>
      </c>
      <c r="B12" s="67" t="n">
        <v>11</v>
      </c>
      <c r="C12" s="70">
        <f>Sesiones!B12</f>
        <v/>
      </c>
      <c r="D12" s="68" t="inlineStr">
        <is>
          <t>08:30–13:00</t>
        </is>
      </c>
      <c r="E12" s="68" t="inlineStr">
        <is>
          <t>SIMULADO</t>
        </is>
      </c>
      <c r="F12" s="67">
        <f>Sesiones!J12</f>
        <v/>
      </c>
      <c r="G12" s="67">
        <f>Sesiones!K12</f>
        <v/>
      </c>
      <c r="H12" s="67">
        <f>Sesiones!L12</f>
        <v/>
      </c>
      <c r="I12" s="68" t="inlineStr">
        <is>
          <t>Sí</t>
        </is>
      </c>
      <c r="J12" s="68" t="inlineStr">
        <is>
          <t>SIMULADO</t>
        </is>
      </c>
    </row>
    <row r="13">
      <c r="A13" s="67" t="inlineStr">
        <is>
          <t>PRE</t>
        </is>
      </c>
      <c r="B13" s="67" t="n">
        <v>12</v>
      </c>
      <c r="C13" s="70">
        <f>Sesiones!B13</f>
        <v/>
      </c>
      <c r="D13" s="68" t="inlineStr">
        <is>
          <t>08:30–13:00</t>
        </is>
      </c>
      <c r="E13" s="68" t="inlineStr">
        <is>
          <t>SIMULADO</t>
        </is>
      </c>
      <c r="F13" s="67">
        <f>Sesiones!J13</f>
        <v/>
      </c>
      <c r="G13" s="67">
        <f>Sesiones!K13</f>
        <v/>
      </c>
      <c r="H13" s="67">
        <f>Sesiones!L13</f>
        <v/>
      </c>
      <c r="I13" s="68" t="inlineStr">
        <is>
          <t>Sí</t>
        </is>
      </c>
      <c r="J13" s="68" t="inlineStr">
        <is>
          <t>SIMULADO</t>
        </is>
      </c>
    </row>
    <row r="14">
      <c r="A14" s="67" t="inlineStr">
        <is>
          <t>PRE</t>
        </is>
      </c>
      <c r="B14" s="67" t="n">
        <v>13</v>
      </c>
      <c r="C14" s="70">
        <f>Sesiones!B14</f>
        <v/>
      </c>
      <c r="D14" s="68" t="inlineStr">
        <is>
          <t>08:30–13:00</t>
        </is>
      </c>
      <c r="E14" s="68" t="inlineStr">
        <is>
          <t>SIMULADO</t>
        </is>
      </c>
      <c r="F14" s="67">
        <f>Sesiones!J14</f>
        <v/>
      </c>
      <c r="G14" s="67">
        <f>Sesiones!K14</f>
        <v/>
      </c>
      <c r="H14" s="67">
        <f>Sesiones!L14</f>
        <v/>
      </c>
      <c r="I14" s="68" t="inlineStr">
        <is>
          <t>Sí</t>
        </is>
      </c>
      <c r="J14" s="68" t="inlineStr">
        <is>
          <t>SIMULADO</t>
        </is>
      </c>
    </row>
    <row r="15">
      <c r="A15" s="67" t="inlineStr">
        <is>
          <t>POST</t>
        </is>
      </c>
      <c r="B15" s="67" t="n">
        <v>1</v>
      </c>
      <c r="C15" s="70">
        <f>Sesiones!F2</f>
        <v/>
      </c>
      <c r="D15" s="68" t="inlineStr">
        <is>
          <t>08:30–13:00</t>
        </is>
      </c>
      <c r="E15" s="68" t="inlineStr">
        <is>
          <t>SIMULADO</t>
        </is>
      </c>
      <c r="F15" s="67">
        <f>Sesiones!M2</f>
        <v/>
      </c>
      <c r="G15" s="67">
        <f>Sesiones!N2</f>
        <v/>
      </c>
      <c r="H15" s="67">
        <f>Sesiones!O2</f>
        <v/>
      </c>
      <c r="I15" s="68" t="inlineStr">
        <is>
          <t>Sí</t>
        </is>
      </c>
      <c r="J15" s="68" t="inlineStr">
        <is>
          <t>SIMULADO</t>
        </is>
      </c>
    </row>
    <row r="16">
      <c r="A16" s="67" t="inlineStr">
        <is>
          <t>POST</t>
        </is>
      </c>
      <c r="B16" s="67" t="n">
        <v>2</v>
      </c>
      <c r="C16" s="70">
        <f>Sesiones!F3</f>
        <v/>
      </c>
      <c r="D16" s="68" t="inlineStr">
        <is>
          <t>08:30–13:00</t>
        </is>
      </c>
      <c r="E16" s="68" t="inlineStr">
        <is>
          <t>SIMULADO</t>
        </is>
      </c>
      <c r="F16" s="67">
        <f>Sesiones!M3</f>
        <v/>
      </c>
      <c r="G16" s="67">
        <f>Sesiones!N3</f>
        <v/>
      </c>
      <c r="H16" s="67">
        <f>Sesiones!O3</f>
        <v/>
      </c>
      <c r="I16" s="68" t="inlineStr">
        <is>
          <t>Sí</t>
        </is>
      </c>
      <c r="J16" s="68" t="inlineStr">
        <is>
          <t>SIMULADO</t>
        </is>
      </c>
    </row>
    <row r="17">
      <c r="A17" s="67" t="inlineStr">
        <is>
          <t>POST</t>
        </is>
      </c>
      <c r="B17" s="67" t="n">
        <v>3</v>
      </c>
      <c r="C17" s="70">
        <f>Sesiones!F4</f>
        <v/>
      </c>
      <c r="D17" s="68" t="inlineStr">
        <is>
          <t>08:30–13:00</t>
        </is>
      </c>
      <c r="E17" s="68" t="inlineStr">
        <is>
          <t>SIMULADO</t>
        </is>
      </c>
      <c r="F17" s="67">
        <f>Sesiones!M4</f>
        <v/>
      </c>
      <c r="G17" s="67">
        <f>Sesiones!N4</f>
        <v/>
      </c>
      <c r="H17" s="67">
        <f>Sesiones!O4</f>
        <v/>
      </c>
      <c r="I17" s="68" t="inlineStr">
        <is>
          <t>Sí</t>
        </is>
      </c>
      <c r="J17" s="68" t="inlineStr">
        <is>
          <t>SIMULADO</t>
        </is>
      </c>
    </row>
    <row r="18">
      <c r="A18" s="67" t="inlineStr">
        <is>
          <t>POST</t>
        </is>
      </c>
      <c r="B18" s="67" t="n">
        <v>4</v>
      </c>
      <c r="C18" s="70">
        <f>Sesiones!F5</f>
        <v/>
      </c>
      <c r="D18" s="68" t="inlineStr">
        <is>
          <t>08:30–13:00</t>
        </is>
      </c>
      <c r="E18" s="68" t="inlineStr">
        <is>
          <t>SIMULADO</t>
        </is>
      </c>
      <c r="F18" s="67">
        <f>Sesiones!M5</f>
        <v/>
      </c>
      <c r="G18" s="67">
        <f>Sesiones!N5</f>
        <v/>
      </c>
      <c r="H18" s="67">
        <f>Sesiones!O5</f>
        <v/>
      </c>
      <c r="I18" s="68" t="inlineStr">
        <is>
          <t>Sí</t>
        </is>
      </c>
      <c r="J18" s="68" t="inlineStr">
        <is>
          <t>SIMULADO</t>
        </is>
      </c>
    </row>
    <row r="19">
      <c r="A19" s="67" t="inlineStr">
        <is>
          <t>POST</t>
        </is>
      </c>
      <c r="B19" s="67" t="n">
        <v>5</v>
      </c>
      <c r="C19" s="70">
        <f>Sesiones!F6</f>
        <v/>
      </c>
      <c r="D19" s="68" t="inlineStr">
        <is>
          <t>08:30–13:00</t>
        </is>
      </c>
      <c r="E19" s="68" t="inlineStr">
        <is>
          <t>SIMULADO</t>
        </is>
      </c>
      <c r="F19" s="67">
        <f>Sesiones!M6</f>
        <v/>
      </c>
      <c r="G19" s="67">
        <f>Sesiones!N6</f>
        <v/>
      </c>
      <c r="H19" s="67">
        <f>Sesiones!O6</f>
        <v/>
      </c>
      <c r="I19" s="68" t="inlineStr">
        <is>
          <t>Sí</t>
        </is>
      </c>
      <c r="J19" s="68" t="inlineStr">
        <is>
          <t>SIMULADO</t>
        </is>
      </c>
    </row>
    <row r="20">
      <c r="A20" s="67" t="inlineStr">
        <is>
          <t>POST</t>
        </is>
      </c>
      <c r="B20" s="67" t="n">
        <v>6</v>
      </c>
      <c r="C20" s="70">
        <f>Sesiones!F7</f>
        <v/>
      </c>
      <c r="D20" s="68" t="inlineStr">
        <is>
          <t>08:30–13:00</t>
        </is>
      </c>
      <c r="E20" s="68" t="inlineStr">
        <is>
          <t>SIMULADO</t>
        </is>
      </c>
      <c r="F20" s="67">
        <f>Sesiones!M7</f>
        <v/>
      </c>
      <c r="G20" s="67">
        <f>Sesiones!N7</f>
        <v/>
      </c>
      <c r="H20" s="67">
        <f>Sesiones!O7</f>
        <v/>
      </c>
      <c r="I20" s="68" t="inlineStr">
        <is>
          <t>Sí</t>
        </is>
      </c>
      <c r="J20" s="68" t="inlineStr">
        <is>
          <t>SIMULADO</t>
        </is>
      </c>
    </row>
    <row r="21">
      <c r="A21" s="67" t="inlineStr">
        <is>
          <t>POST</t>
        </is>
      </c>
      <c r="B21" s="67" t="n">
        <v>7</v>
      </c>
      <c r="C21" s="70">
        <f>Sesiones!F8</f>
        <v/>
      </c>
      <c r="D21" s="68" t="inlineStr">
        <is>
          <t>08:30–13:00</t>
        </is>
      </c>
      <c r="E21" s="68" t="inlineStr">
        <is>
          <t>SIMULADO</t>
        </is>
      </c>
      <c r="F21" s="67">
        <f>Sesiones!M8</f>
        <v/>
      </c>
      <c r="G21" s="67">
        <f>Sesiones!N8</f>
        <v/>
      </c>
      <c r="H21" s="67">
        <f>Sesiones!O8</f>
        <v/>
      </c>
      <c r="I21" s="68" t="inlineStr">
        <is>
          <t>Sí</t>
        </is>
      </c>
      <c r="J21" s="68" t="inlineStr">
        <is>
          <t>SIMULADO</t>
        </is>
      </c>
    </row>
    <row r="22">
      <c r="A22" s="67" t="inlineStr">
        <is>
          <t>POST</t>
        </is>
      </c>
      <c r="B22" s="67" t="n">
        <v>8</v>
      </c>
      <c r="C22" s="70">
        <f>Sesiones!F9</f>
        <v/>
      </c>
      <c r="D22" s="68" t="inlineStr">
        <is>
          <t>08:30–13:00</t>
        </is>
      </c>
      <c r="E22" s="68" t="inlineStr">
        <is>
          <t>SIMULADO</t>
        </is>
      </c>
      <c r="F22" s="67">
        <f>Sesiones!M9</f>
        <v/>
      </c>
      <c r="G22" s="67">
        <f>Sesiones!N9</f>
        <v/>
      </c>
      <c r="H22" s="67">
        <f>Sesiones!O9</f>
        <v/>
      </c>
      <c r="I22" s="68" t="inlineStr">
        <is>
          <t>Sí</t>
        </is>
      </c>
      <c r="J22" s="68" t="inlineStr">
        <is>
          <t>SIMULADO</t>
        </is>
      </c>
    </row>
    <row r="23">
      <c r="A23" s="67" t="inlineStr">
        <is>
          <t>POST</t>
        </is>
      </c>
      <c r="B23" s="67" t="n">
        <v>9</v>
      </c>
      <c r="C23" s="70">
        <f>Sesiones!F10</f>
        <v/>
      </c>
      <c r="D23" s="68" t="inlineStr">
        <is>
          <t>08:30–13:00</t>
        </is>
      </c>
      <c r="E23" s="68" t="inlineStr">
        <is>
          <t>SIMULADO</t>
        </is>
      </c>
      <c r="F23" s="67">
        <f>Sesiones!M10</f>
        <v/>
      </c>
      <c r="G23" s="67">
        <f>Sesiones!N10</f>
        <v/>
      </c>
      <c r="H23" s="67">
        <f>Sesiones!O10</f>
        <v/>
      </c>
      <c r="I23" s="68" t="inlineStr">
        <is>
          <t>Sí</t>
        </is>
      </c>
      <c r="J23" s="68" t="inlineStr">
        <is>
          <t>SIMULADO</t>
        </is>
      </c>
    </row>
    <row r="24">
      <c r="A24" s="67" t="inlineStr">
        <is>
          <t>POST</t>
        </is>
      </c>
      <c r="B24" s="67" t="n">
        <v>10</v>
      </c>
      <c r="C24" s="70">
        <f>Sesiones!F11</f>
        <v/>
      </c>
      <c r="D24" s="68" t="inlineStr">
        <is>
          <t>08:30–13:00</t>
        </is>
      </c>
      <c r="E24" s="68" t="inlineStr">
        <is>
          <t>SIMULADO</t>
        </is>
      </c>
      <c r="F24" s="67">
        <f>Sesiones!M11</f>
        <v/>
      </c>
      <c r="G24" s="67">
        <f>Sesiones!N11</f>
        <v/>
      </c>
      <c r="H24" s="67">
        <f>Sesiones!O11</f>
        <v/>
      </c>
      <c r="I24" s="68" t="inlineStr">
        <is>
          <t>Sí</t>
        </is>
      </c>
      <c r="J24" s="68" t="inlineStr">
        <is>
          <t>SIMULADO</t>
        </is>
      </c>
    </row>
    <row r="25">
      <c r="A25" s="67" t="inlineStr">
        <is>
          <t>POST</t>
        </is>
      </c>
      <c r="B25" s="67" t="n">
        <v>11</v>
      </c>
      <c r="C25" s="70">
        <f>Sesiones!F12</f>
        <v/>
      </c>
      <c r="D25" s="68" t="inlineStr">
        <is>
          <t>08:30–13:00</t>
        </is>
      </c>
      <c r="E25" s="68" t="inlineStr">
        <is>
          <t>SIMULADO</t>
        </is>
      </c>
      <c r="F25" s="67">
        <f>Sesiones!M12</f>
        <v/>
      </c>
      <c r="G25" s="67">
        <f>Sesiones!N12</f>
        <v/>
      </c>
      <c r="H25" s="67">
        <f>Sesiones!O12</f>
        <v/>
      </c>
      <c r="I25" s="68" t="inlineStr">
        <is>
          <t>Sí</t>
        </is>
      </c>
      <c r="J25" s="68" t="inlineStr">
        <is>
          <t>SIMULADO</t>
        </is>
      </c>
    </row>
    <row r="26">
      <c r="A26" s="67" t="inlineStr">
        <is>
          <t>POST</t>
        </is>
      </c>
      <c r="B26" s="67" t="n">
        <v>12</v>
      </c>
      <c r="C26" s="70">
        <f>Sesiones!F13</f>
        <v/>
      </c>
      <c r="D26" s="68" t="inlineStr">
        <is>
          <t>08:30–13:00</t>
        </is>
      </c>
      <c r="E26" s="68" t="inlineStr">
        <is>
          <t>SIMULADO</t>
        </is>
      </c>
      <c r="F26" s="67">
        <f>Sesiones!M13</f>
        <v/>
      </c>
      <c r="G26" s="67">
        <f>Sesiones!N13</f>
        <v/>
      </c>
      <c r="H26" s="67">
        <f>Sesiones!O13</f>
        <v/>
      </c>
      <c r="I26" s="68" t="inlineStr">
        <is>
          <t>Sí</t>
        </is>
      </c>
      <c r="J26" s="68" t="inlineStr">
        <is>
          <t>SIMULADO</t>
        </is>
      </c>
    </row>
    <row r="27">
      <c r="A27" s="67" t="inlineStr">
        <is>
          <t>POST</t>
        </is>
      </c>
      <c r="B27" s="67" t="n">
        <v>13</v>
      </c>
      <c r="C27" s="70">
        <f>Sesiones!F14</f>
        <v/>
      </c>
      <c r="D27" s="68" t="inlineStr">
        <is>
          <t>08:30–13:00</t>
        </is>
      </c>
      <c r="E27" s="68" t="inlineStr">
        <is>
          <t>SIMULADO</t>
        </is>
      </c>
      <c r="F27" s="67">
        <f>Sesiones!M14</f>
        <v/>
      </c>
      <c r="G27" s="67">
        <f>Sesiones!N14</f>
        <v/>
      </c>
      <c r="H27" s="67">
        <f>Sesiones!O14</f>
        <v/>
      </c>
      <c r="I27" s="68" t="inlineStr">
        <is>
          <t>Sí</t>
        </is>
      </c>
      <c r="J27" s="68" t="inlineStr">
        <is>
          <t>SIMULADO</t>
        </is>
      </c>
    </row>
  </sheetData>
  <dataValidations count="1">
    <dataValidation sqref="B2:B46 D2:D46 I2:I27" showDropDown="0" showInputMessage="0" showErrorMessage="0" allowBlank="1" type="list">
      <formula1>Listas!$C$2:$C$3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6" customWidth="1" style="26" min="2" max="4"/>
    <col width="40" customWidth="1" style="26" min="5" max="5"/>
    <col width="18" customWidth="1" style="27" min="6" max="6"/>
    <col width="18" customWidth="1" style="27" min="7" max="7"/>
    <col width="18" customWidth="1" style="27" min="8" max="8"/>
  </cols>
  <sheetData>
    <row r="1" ht="31.5" customHeight="1" s="27">
      <c r="A1" s="38" t="inlineStr">
        <is>
          <t>Indicador</t>
        </is>
      </c>
      <c r="B1" s="38" t="inlineStr">
        <is>
          <t>PRE
(promedio 13 sesiones)</t>
        </is>
      </c>
      <c r="C1" s="38" t="inlineStr">
        <is>
          <t>POST
(promedio 13 sesiones)</t>
        </is>
      </c>
      <c r="D1" s="38" t="inlineStr">
        <is>
          <t>Diferencia</t>
        </is>
      </c>
      <c r="E1" s="38" t="inlineStr">
        <is>
          <t>Dirección esperada</t>
        </is>
      </c>
      <c r="F1" s="42" t="inlineStr">
        <is>
          <t>Valor global PRE
(todos los eventos)</t>
        </is>
      </c>
      <c r="G1" s="42" t="inlineStr">
        <is>
          <t>Valor global POST
(todos los eventos)</t>
        </is>
      </c>
      <c r="H1" s="42" t="inlineStr">
        <is>
          <t>Pares
válidos</t>
        </is>
      </c>
    </row>
    <row r="2" ht="30" customHeight="1" s="27">
      <c r="A2" s="59" t="inlineStr">
        <is>
          <t>Tiempo Promedio de Registro (TPR, min)</t>
        </is>
      </c>
      <c r="B2" s="56">
        <f>IFERROR(AVERAGE(Sesiones!C2:C14),"")</f>
        <v/>
      </c>
      <c r="C2" s="56">
        <f>IFERROR(AVERAGE(Sesiones!G2:G14),"")</f>
        <v/>
      </c>
      <c r="D2" s="56">
        <f>IFERROR(C2-B2,"")</f>
        <v/>
      </c>
      <c r="E2" s="60" t="inlineStr">
        <is>
          <t>PRE &gt; POST (se espera reducción)</t>
        </is>
      </c>
      <c r="F2" s="61">
        <f>IFERROR(AVERAGE(TPR_PRE!F3:F202),"")</f>
        <v/>
      </c>
      <c r="G2" s="61">
        <f>IFERROR(AVERAGE(TPR_POST!F3:F202),"")</f>
        <v/>
      </c>
      <c r="H2" s="62">
        <f>COUNTIF(Sesiones!P2:P14,"Sí")</f>
        <v/>
      </c>
    </row>
    <row r="3" ht="30" customHeight="1" s="27">
      <c r="A3" s="59" t="inlineStr">
        <is>
          <t>Tasa de Ausentismo (%)</t>
        </is>
      </c>
      <c r="B3" s="57">
        <f>IFERROR(AVERAGE(Sesiones!D2:D14),"")</f>
        <v/>
      </c>
      <c r="C3" s="57">
        <f>IFERROR(AVERAGE(Sesiones!H2:H14),"")</f>
        <v/>
      </c>
      <c r="D3" s="57">
        <f>IFERROR(C3-B3,"")</f>
        <v/>
      </c>
      <c r="E3" s="60" t="inlineStr">
        <is>
          <t>PRE &gt; POST (se espera reducción)</t>
        </is>
      </c>
      <c r="F3" s="63">
        <f>IFERROR(COUNTIF(Ausentismo_PRE!E3:E202,"No asistió")/(COUNTIF(Ausentismo_PRE!E3:E202,"No asistió")+COUNTIF(Ausentismo_PRE!E3:E202,"Asistió")),"")</f>
        <v/>
      </c>
      <c r="G3" s="63">
        <f>IFERROR(COUNTIF(Ausentismo_POST!E3:E202,"No asistió")/(COUNTIF(Ausentismo_POST!E3:E202,"No asistió")+COUNTIF(Ausentismo_POST!E3:E202,"Asistió")),"")</f>
        <v/>
      </c>
      <c r="H3" s="62">
        <f>COUNTIF(Sesiones!Q2:Q14,"Sí")</f>
        <v/>
      </c>
    </row>
    <row r="4" ht="30" customHeight="1" s="27">
      <c r="A4" s="59" t="inlineStr">
        <is>
          <t>Nivel de Consultas Atendidas (%)</t>
        </is>
      </c>
      <c r="B4" s="57">
        <f>IFERROR(AVERAGE(Sesiones!E2:E14),"")</f>
        <v/>
      </c>
      <c r="C4" s="57">
        <f>IFERROR(AVERAGE(Sesiones!I2:I14),"")</f>
        <v/>
      </c>
      <c r="D4" s="57">
        <f>IFERROR(C4-B4,"")</f>
        <v/>
      </c>
      <c r="E4" s="60" t="inlineStr">
        <is>
          <t>POST &gt; PRE (se espera aumento)</t>
        </is>
      </c>
      <c r="F4" s="63">
        <f>IFERROR(COUNTIFS(Consultas_PRE!F3:F202,"Sí",Consultas_PRE!G3:G202,"No")/COUNT(Consultas_PRE!B3:B202),"")</f>
        <v/>
      </c>
      <c r="G4" s="63">
        <f>IFERROR(COUNTIFS(Consultas_POST!F3:F202,"Sí",Consultas_POST!G3:G202,"No")/COUNT(Consultas_POST!B3:B202),"")</f>
        <v/>
      </c>
      <c r="H4" s="62">
        <f>COUNTIF(Sesiones!R2:R14,"Sí")</f>
        <v/>
      </c>
    </row>
    <row r="6">
      <c r="A6" s="26" t="inlineStr">
        <is>
          <t>Los valores PRE y POST (columnas B y C) son el promedio de los valores por sesión; las columnas F y G calculan el indicador sobre el total de eventos de cada etapa. El contraste estadístico se realiza en SPSS con los pares válidos de la hoja Sesiones.</t>
        </is>
      </c>
    </row>
    <row r="7" ht="15" customHeight="1" s="27">
      <c r="A7" s="34" t="inlineStr">
        <is>
          <t>Los valores se calculan automáticamente a partir de la hoja Sesiones, que a su vez se alimenta de los registros reales ingresados en las hojas PRE/POST.</t>
        </is>
      </c>
    </row>
  </sheetData>
  <mergeCells count="1">
    <mergeCell ref="A7:E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27" min="1" max="1"/>
    <col width="12" customWidth="1" style="27" min="2" max="2"/>
    <col width="12" customWidth="1" style="27" min="3" max="3"/>
    <col width="10" customWidth="1" style="27" min="4" max="4"/>
    <col width="10" customWidth="1" style="27" min="5" max="5"/>
    <col width="10" customWidth="1" style="27" min="6" max="6"/>
    <col width="10" customWidth="1" style="27" min="7" max="7"/>
    <col width="10" customWidth="1" style="27" min="8" max="8"/>
    <col width="10" customWidth="1" style="27" min="9" max="9"/>
    <col width="10" customWidth="1" style="27" min="10" max="10"/>
  </cols>
  <sheetData>
    <row r="1">
      <c r="A1" s="72" t="inlineStr">
        <is>
          <t>par</t>
        </is>
      </c>
      <c r="B1" s="72" t="inlineStr">
        <is>
          <t>fecha_pre</t>
        </is>
      </c>
      <c r="C1" s="72" t="inlineStr">
        <is>
          <t>fecha_post</t>
        </is>
      </c>
      <c r="D1" s="72" t="inlineStr">
        <is>
          <t>mismo_dia</t>
        </is>
      </c>
      <c r="E1" s="72" t="inlineStr">
        <is>
          <t>tpr_pre</t>
        </is>
      </c>
      <c r="F1" s="72" t="inlineStr">
        <is>
          <t>tpr_post</t>
        </is>
      </c>
      <c r="G1" s="72" t="inlineStr">
        <is>
          <t>ta_pre</t>
        </is>
      </c>
      <c r="H1" s="72" t="inlineStr">
        <is>
          <t>ta_post</t>
        </is>
      </c>
      <c r="I1" s="72" t="inlineStr">
        <is>
          <t>nca_pre</t>
        </is>
      </c>
      <c r="J1" s="72" t="inlineStr">
        <is>
          <t>nca_post</t>
        </is>
      </c>
    </row>
    <row r="2">
      <c r="A2" s="73" t="n">
        <v>1</v>
      </c>
      <c r="B2" s="73">
        <f>TEXT(Sesiones!B2,"dd/mm/yyyy")</f>
        <v/>
      </c>
      <c r="C2" s="73">
        <f>TEXT(Sesiones!F2,"dd/mm/yyyy")</f>
        <v/>
      </c>
      <c r="D2" s="73">
        <f>IF(Sesiones!S2="Sí",1,0)</f>
        <v/>
      </c>
      <c r="E2" s="73">
        <f>IF(Sesiones!P2="Sí",ROUND(Sesiones!C2,2),"")</f>
        <v/>
      </c>
      <c r="F2" s="73">
        <f>IF(Sesiones!P2="Sí",ROUND(Sesiones!G2,2),"")</f>
        <v/>
      </c>
      <c r="G2" s="73">
        <f>IF(Sesiones!Q2="Sí",ROUND(Sesiones!D2*100,2),"")</f>
        <v/>
      </c>
      <c r="H2" s="73">
        <f>IF(Sesiones!Q2="Sí",ROUND(Sesiones!H2*100,2),"")</f>
        <v/>
      </c>
      <c r="I2" s="73">
        <f>IF(Sesiones!R2="Sí",ROUND(Sesiones!E2*100,2),"")</f>
        <v/>
      </c>
      <c r="J2" s="73">
        <f>IF(Sesiones!R2="Sí",ROUND(Sesiones!I2*100,2),"")</f>
        <v/>
      </c>
    </row>
    <row r="3">
      <c r="A3" s="73" t="n">
        <v>2</v>
      </c>
      <c r="B3" s="73">
        <f>TEXT(Sesiones!B3,"dd/mm/yyyy")</f>
        <v/>
      </c>
      <c r="C3" s="73">
        <f>TEXT(Sesiones!F3,"dd/mm/yyyy")</f>
        <v/>
      </c>
      <c r="D3" s="73">
        <f>IF(Sesiones!S3="Sí",1,0)</f>
        <v/>
      </c>
      <c r="E3" s="73">
        <f>IF(Sesiones!P3="Sí",ROUND(Sesiones!C3,2),"")</f>
        <v/>
      </c>
      <c r="F3" s="73">
        <f>IF(Sesiones!P3="Sí",ROUND(Sesiones!G3,2),"")</f>
        <v/>
      </c>
      <c r="G3" s="73">
        <f>IF(Sesiones!Q3="Sí",ROUND(Sesiones!D3*100,2),"")</f>
        <v/>
      </c>
      <c r="H3" s="73">
        <f>IF(Sesiones!Q3="Sí",ROUND(Sesiones!H3*100,2),"")</f>
        <v/>
      </c>
      <c r="I3" s="73">
        <f>IF(Sesiones!R3="Sí",ROUND(Sesiones!E3*100,2),"")</f>
        <v/>
      </c>
      <c r="J3" s="73">
        <f>IF(Sesiones!R3="Sí",ROUND(Sesiones!I3*100,2),"")</f>
        <v/>
      </c>
    </row>
    <row r="4">
      <c r="A4" s="73" t="n">
        <v>3</v>
      </c>
      <c r="B4" s="73">
        <f>TEXT(Sesiones!B4,"dd/mm/yyyy")</f>
        <v/>
      </c>
      <c r="C4" s="73">
        <f>TEXT(Sesiones!F4,"dd/mm/yyyy")</f>
        <v/>
      </c>
      <c r="D4" s="73">
        <f>IF(Sesiones!S4="Sí",1,0)</f>
        <v/>
      </c>
      <c r="E4" s="73">
        <f>IF(Sesiones!P4="Sí",ROUND(Sesiones!C4,2),"")</f>
        <v/>
      </c>
      <c r="F4" s="73">
        <f>IF(Sesiones!P4="Sí",ROUND(Sesiones!G4,2),"")</f>
        <v/>
      </c>
      <c r="G4" s="73">
        <f>IF(Sesiones!Q4="Sí",ROUND(Sesiones!D4*100,2),"")</f>
        <v/>
      </c>
      <c r="H4" s="73">
        <f>IF(Sesiones!Q4="Sí",ROUND(Sesiones!H4*100,2),"")</f>
        <v/>
      </c>
      <c r="I4" s="73">
        <f>IF(Sesiones!R4="Sí",ROUND(Sesiones!E4*100,2),"")</f>
        <v/>
      </c>
      <c r="J4" s="73">
        <f>IF(Sesiones!R4="Sí",ROUND(Sesiones!I4*100,2),"")</f>
        <v/>
      </c>
    </row>
    <row r="5">
      <c r="A5" s="73" t="n">
        <v>4</v>
      </c>
      <c r="B5" s="73">
        <f>TEXT(Sesiones!B5,"dd/mm/yyyy")</f>
        <v/>
      </c>
      <c r="C5" s="73">
        <f>TEXT(Sesiones!F5,"dd/mm/yyyy")</f>
        <v/>
      </c>
      <c r="D5" s="73">
        <f>IF(Sesiones!S5="Sí",1,0)</f>
        <v/>
      </c>
      <c r="E5" s="73">
        <f>IF(Sesiones!P5="Sí",ROUND(Sesiones!C5,2),"")</f>
        <v/>
      </c>
      <c r="F5" s="73">
        <f>IF(Sesiones!P5="Sí",ROUND(Sesiones!G5,2),"")</f>
        <v/>
      </c>
      <c r="G5" s="73">
        <f>IF(Sesiones!Q5="Sí",ROUND(Sesiones!D5*100,2),"")</f>
        <v/>
      </c>
      <c r="H5" s="73">
        <f>IF(Sesiones!Q5="Sí",ROUND(Sesiones!H5*100,2),"")</f>
        <v/>
      </c>
      <c r="I5" s="73">
        <f>IF(Sesiones!R5="Sí",ROUND(Sesiones!E5*100,2),"")</f>
        <v/>
      </c>
      <c r="J5" s="73">
        <f>IF(Sesiones!R5="Sí",ROUND(Sesiones!I5*100,2),"")</f>
        <v/>
      </c>
    </row>
    <row r="6">
      <c r="A6" s="73" t="n">
        <v>5</v>
      </c>
      <c r="B6" s="73">
        <f>TEXT(Sesiones!B6,"dd/mm/yyyy")</f>
        <v/>
      </c>
      <c r="C6" s="73">
        <f>TEXT(Sesiones!F6,"dd/mm/yyyy")</f>
        <v/>
      </c>
      <c r="D6" s="73">
        <f>IF(Sesiones!S6="Sí",1,0)</f>
        <v/>
      </c>
      <c r="E6" s="73">
        <f>IF(Sesiones!P6="Sí",ROUND(Sesiones!C6,2),"")</f>
        <v/>
      </c>
      <c r="F6" s="73">
        <f>IF(Sesiones!P6="Sí",ROUND(Sesiones!G6,2),"")</f>
        <v/>
      </c>
      <c r="G6" s="73">
        <f>IF(Sesiones!Q6="Sí",ROUND(Sesiones!D6*100,2),"")</f>
        <v/>
      </c>
      <c r="H6" s="73">
        <f>IF(Sesiones!Q6="Sí",ROUND(Sesiones!H6*100,2),"")</f>
        <v/>
      </c>
      <c r="I6" s="73">
        <f>IF(Sesiones!R6="Sí",ROUND(Sesiones!E6*100,2),"")</f>
        <v/>
      </c>
      <c r="J6" s="73">
        <f>IF(Sesiones!R6="Sí",ROUND(Sesiones!I6*100,2),"")</f>
        <v/>
      </c>
    </row>
    <row r="7">
      <c r="A7" s="73" t="n">
        <v>6</v>
      </c>
      <c r="B7" s="73">
        <f>TEXT(Sesiones!B7,"dd/mm/yyyy")</f>
        <v/>
      </c>
      <c r="C7" s="73">
        <f>TEXT(Sesiones!F7,"dd/mm/yyyy")</f>
        <v/>
      </c>
      <c r="D7" s="73">
        <f>IF(Sesiones!S7="Sí",1,0)</f>
        <v/>
      </c>
      <c r="E7" s="73">
        <f>IF(Sesiones!P7="Sí",ROUND(Sesiones!C7,2),"")</f>
        <v/>
      </c>
      <c r="F7" s="73">
        <f>IF(Sesiones!P7="Sí",ROUND(Sesiones!G7,2),"")</f>
        <v/>
      </c>
      <c r="G7" s="73">
        <f>IF(Sesiones!Q7="Sí",ROUND(Sesiones!D7*100,2),"")</f>
        <v/>
      </c>
      <c r="H7" s="73">
        <f>IF(Sesiones!Q7="Sí",ROUND(Sesiones!H7*100,2),"")</f>
        <v/>
      </c>
      <c r="I7" s="73">
        <f>IF(Sesiones!R7="Sí",ROUND(Sesiones!E7*100,2),"")</f>
        <v/>
      </c>
      <c r="J7" s="73">
        <f>IF(Sesiones!R7="Sí",ROUND(Sesiones!I7*100,2),"")</f>
        <v/>
      </c>
    </row>
    <row r="8">
      <c r="A8" s="73" t="n">
        <v>7</v>
      </c>
      <c r="B8" s="73">
        <f>TEXT(Sesiones!B8,"dd/mm/yyyy")</f>
        <v/>
      </c>
      <c r="C8" s="73">
        <f>TEXT(Sesiones!F8,"dd/mm/yyyy")</f>
        <v/>
      </c>
      <c r="D8" s="73">
        <f>IF(Sesiones!S8="Sí",1,0)</f>
        <v/>
      </c>
      <c r="E8" s="73">
        <f>IF(Sesiones!P8="Sí",ROUND(Sesiones!C8,2),"")</f>
        <v/>
      </c>
      <c r="F8" s="73">
        <f>IF(Sesiones!P8="Sí",ROUND(Sesiones!G8,2),"")</f>
        <v/>
      </c>
      <c r="G8" s="73">
        <f>IF(Sesiones!Q8="Sí",ROUND(Sesiones!D8*100,2),"")</f>
        <v/>
      </c>
      <c r="H8" s="73">
        <f>IF(Sesiones!Q8="Sí",ROUND(Sesiones!H8*100,2),"")</f>
        <v/>
      </c>
      <c r="I8" s="73">
        <f>IF(Sesiones!R8="Sí",ROUND(Sesiones!E8*100,2),"")</f>
        <v/>
      </c>
      <c r="J8" s="73">
        <f>IF(Sesiones!R8="Sí",ROUND(Sesiones!I8*100,2),"")</f>
        <v/>
      </c>
    </row>
    <row r="9">
      <c r="A9" s="73" t="n">
        <v>8</v>
      </c>
      <c r="B9" s="73">
        <f>TEXT(Sesiones!B9,"dd/mm/yyyy")</f>
        <v/>
      </c>
      <c r="C9" s="73">
        <f>TEXT(Sesiones!F9,"dd/mm/yyyy")</f>
        <v/>
      </c>
      <c r="D9" s="73">
        <f>IF(Sesiones!S9="Sí",1,0)</f>
        <v/>
      </c>
      <c r="E9" s="73">
        <f>IF(Sesiones!P9="Sí",ROUND(Sesiones!C9,2),"")</f>
        <v/>
      </c>
      <c r="F9" s="73">
        <f>IF(Sesiones!P9="Sí",ROUND(Sesiones!G9,2),"")</f>
        <v/>
      </c>
      <c r="G9" s="73">
        <f>IF(Sesiones!Q9="Sí",ROUND(Sesiones!D9*100,2),"")</f>
        <v/>
      </c>
      <c r="H9" s="73">
        <f>IF(Sesiones!Q9="Sí",ROUND(Sesiones!H9*100,2),"")</f>
        <v/>
      </c>
      <c r="I9" s="73">
        <f>IF(Sesiones!R9="Sí",ROUND(Sesiones!E9*100,2),"")</f>
        <v/>
      </c>
      <c r="J9" s="73">
        <f>IF(Sesiones!R9="Sí",ROUND(Sesiones!I9*100,2),"")</f>
        <v/>
      </c>
    </row>
    <row r="10">
      <c r="A10" s="73" t="n">
        <v>9</v>
      </c>
      <c r="B10" s="73">
        <f>TEXT(Sesiones!B10,"dd/mm/yyyy")</f>
        <v/>
      </c>
      <c r="C10" s="73">
        <f>TEXT(Sesiones!F10,"dd/mm/yyyy")</f>
        <v/>
      </c>
      <c r="D10" s="73">
        <f>IF(Sesiones!S10="Sí",1,0)</f>
        <v/>
      </c>
      <c r="E10" s="73">
        <f>IF(Sesiones!P10="Sí",ROUND(Sesiones!C10,2),"")</f>
        <v/>
      </c>
      <c r="F10" s="73">
        <f>IF(Sesiones!P10="Sí",ROUND(Sesiones!G10,2),"")</f>
        <v/>
      </c>
      <c r="G10" s="73">
        <f>IF(Sesiones!Q10="Sí",ROUND(Sesiones!D10*100,2),"")</f>
        <v/>
      </c>
      <c r="H10" s="73">
        <f>IF(Sesiones!Q10="Sí",ROUND(Sesiones!H10*100,2),"")</f>
        <v/>
      </c>
      <c r="I10" s="73">
        <f>IF(Sesiones!R10="Sí",ROUND(Sesiones!E10*100,2),"")</f>
        <v/>
      </c>
      <c r="J10" s="73">
        <f>IF(Sesiones!R10="Sí",ROUND(Sesiones!I10*100,2),"")</f>
        <v/>
      </c>
    </row>
    <row r="11">
      <c r="A11" s="73" t="n">
        <v>10</v>
      </c>
      <c r="B11" s="73">
        <f>TEXT(Sesiones!B11,"dd/mm/yyyy")</f>
        <v/>
      </c>
      <c r="C11" s="73">
        <f>TEXT(Sesiones!F11,"dd/mm/yyyy")</f>
        <v/>
      </c>
      <c r="D11" s="73">
        <f>IF(Sesiones!S11="Sí",1,0)</f>
        <v/>
      </c>
      <c r="E11" s="73">
        <f>IF(Sesiones!P11="Sí",ROUND(Sesiones!C11,2),"")</f>
        <v/>
      </c>
      <c r="F11" s="73">
        <f>IF(Sesiones!P11="Sí",ROUND(Sesiones!G11,2),"")</f>
        <v/>
      </c>
      <c r="G11" s="73">
        <f>IF(Sesiones!Q11="Sí",ROUND(Sesiones!D11*100,2),"")</f>
        <v/>
      </c>
      <c r="H11" s="73">
        <f>IF(Sesiones!Q11="Sí",ROUND(Sesiones!H11*100,2),"")</f>
        <v/>
      </c>
      <c r="I11" s="73">
        <f>IF(Sesiones!R11="Sí",ROUND(Sesiones!E11*100,2),"")</f>
        <v/>
      </c>
      <c r="J11" s="73">
        <f>IF(Sesiones!R11="Sí",ROUND(Sesiones!I11*100,2),"")</f>
        <v/>
      </c>
    </row>
    <row r="12">
      <c r="A12" s="73" t="n">
        <v>11</v>
      </c>
      <c r="B12" s="73">
        <f>TEXT(Sesiones!B12,"dd/mm/yyyy")</f>
        <v/>
      </c>
      <c r="C12" s="73">
        <f>TEXT(Sesiones!F12,"dd/mm/yyyy")</f>
        <v/>
      </c>
      <c r="D12" s="73">
        <f>IF(Sesiones!S12="Sí",1,0)</f>
        <v/>
      </c>
      <c r="E12" s="73">
        <f>IF(Sesiones!P12="Sí",ROUND(Sesiones!C12,2),"")</f>
        <v/>
      </c>
      <c r="F12" s="73">
        <f>IF(Sesiones!P12="Sí",ROUND(Sesiones!G12,2),"")</f>
        <v/>
      </c>
      <c r="G12" s="73">
        <f>IF(Sesiones!Q12="Sí",ROUND(Sesiones!D12*100,2),"")</f>
        <v/>
      </c>
      <c r="H12" s="73">
        <f>IF(Sesiones!Q12="Sí",ROUND(Sesiones!H12*100,2),"")</f>
        <v/>
      </c>
      <c r="I12" s="73">
        <f>IF(Sesiones!R12="Sí",ROUND(Sesiones!E12*100,2),"")</f>
        <v/>
      </c>
      <c r="J12" s="73">
        <f>IF(Sesiones!R12="Sí",ROUND(Sesiones!I12*100,2),"")</f>
        <v/>
      </c>
    </row>
    <row r="13">
      <c r="A13" s="73" t="n">
        <v>12</v>
      </c>
      <c r="B13" s="73">
        <f>TEXT(Sesiones!B13,"dd/mm/yyyy")</f>
        <v/>
      </c>
      <c r="C13" s="73">
        <f>TEXT(Sesiones!F13,"dd/mm/yyyy")</f>
        <v/>
      </c>
      <c r="D13" s="73">
        <f>IF(Sesiones!S13="Sí",1,0)</f>
        <v/>
      </c>
      <c r="E13" s="73">
        <f>IF(Sesiones!P13="Sí",ROUND(Sesiones!C13,2),"")</f>
        <v/>
      </c>
      <c r="F13" s="73">
        <f>IF(Sesiones!P13="Sí",ROUND(Sesiones!G13,2),"")</f>
        <v/>
      </c>
      <c r="G13" s="73">
        <f>IF(Sesiones!Q13="Sí",ROUND(Sesiones!D13*100,2),"")</f>
        <v/>
      </c>
      <c r="H13" s="73">
        <f>IF(Sesiones!Q13="Sí",ROUND(Sesiones!H13*100,2),"")</f>
        <v/>
      </c>
      <c r="I13" s="73">
        <f>IF(Sesiones!R13="Sí",ROUND(Sesiones!E13*100,2),"")</f>
        <v/>
      </c>
      <c r="J13" s="73">
        <f>IF(Sesiones!R13="Sí",ROUND(Sesiones!I13*100,2),"")</f>
        <v/>
      </c>
    </row>
    <row r="14">
      <c r="A14" s="73" t="n">
        <v>13</v>
      </c>
      <c r="B14" s="73">
        <f>TEXT(Sesiones!B14,"dd/mm/yyyy")</f>
        <v/>
      </c>
      <c r="C14" s="73">
        <f>TEXT(Sesiones!F14,"dd/mm/yyyy")</f>
        <v/>
      </c>
      <c r="D14" s="73">
        <f>IF(Sesiones!S14="Sí",1,0)</f>
        <v/>
      </c>
      <c r="E14" s="73">
        <f>IF(Sesiones!P14="Sí",ROUND(Sesiones!C14,2),"")</f>
        <v/>
      </c>
      <c r="F14" s="73">
        <f>IF(Sesiones!P14="Sí",ROUND(Sesiones!G14,2),"")</f>
        <v/>
      </c>
      <c r="G14" s="73">
        <f>IF(Sesiones!Q14="Sí",ROUND(Sesiones!D14*100,2),"")</f>
        <v/>
      </c>
      <c r="H14" s="73">
        <f>IF(Sesiones!Q14="Sí",ROUND(Sesiones!H14*100,2),"")</f>
        <v/>
      </c>
      <c r="I14" s="73">
        <f>IF(Sesiones!R14="Sí",ROUND(Sesiones!E14*100,2),"")</f>
        <v/>
      </c>
      <c r="J14" s="73">
        <f>IF(Sesiones!R14="Sí",ROUND(Sesiones!I14*100,2),"")</f>
        <v/>
      </c>
    </row>
    <row r="16">
      <c r="A16" s="65" t="inlineStr">
        <is>
          <t>Hoja generada automáticamente. No la edite. TPR en minutos; TA y NCA en porcentaje. Las celdas vacías indican pares no válidos (sin eventos en alguna etapa). La sintaxis Analisis_SPSS.sps importa esta hoja.</t>
        </is>
      </c>
    </row>
    <row r="17"/>
    <row r="18"/>
  </sheetData>
  <mergeCells count="1">
    <mergeCell ref="A16:J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style="27" min="1" max="1"/>
    <col width="16" customWidth="1" style="27" min="2" max="2"/>
    <col width="16" customWidth="1" style="27" min="3" max="3"/>
    <col width="16" customWidth="1" style="27" min="4" max="4"/>
    <col width="16" customWidth="1" style="27" min="5" max="5"/>
    <col width="16" customWidth="1" style="27" min="6" max="6"/>
    <col width="16" customWidth="1" style="27" min="7" max="7"/>
    <col width="16" customWidth="1" style="27" min="8" max="8"/>
  </cols>
  <sheetData>
    <row r="1">
      <c r="A1" s="66" t="inlineStr">
        <is>
          <t>Hoja</t>
        </is>
      </c>
      <c r="B1" s="66" t="inlineStr">
        <is>
          <t>Registros</t>
        </is>
      </c>
      <c r="C1" s="66" t="inlineStr">
        <is>
          <t>OK</t>
        </is>
      </c>
      <c r="D1" s="66" t="inlineStr">
        <is>
          <t>Faltan datos</t>
        </is>
      </c>
      <c r="E1" s="66" t="inlineStr">
        <is>
          <t>Código no registrado</t>
        </is>
      </c>
      <c r="F1" s="66" t="inlineStr">
        <is>
          <t>Tiempo no válido</t>
        </is>
      </c>
      <c r="G1" s="66" t="inlineStr">
        <is>
          <t>Revisar (&gt; 60 min)</t>
        </is>
      </c>
      <c r="H1" s="66" t="inlineStr">
        <is>
          <t>Contradicción</t>
        </is>
      </c>
    </row>
    <row r="2">
      <c r="A2" s="71" t="inlineStr">
        <is>
          <t>TPR_PRE</t>
        </is>
      </c>
      <c r="B2" s="67">
        <f>COUNT(TPR_PRE!B3:B202)</f>
        <v/>
      </c>
      <c r="C2" s="67">
        <f>COUNTIF(TPR_PRE!H3:H202,"OK")</f>
        <v/>
      </c>
      <c r="D2" s="67">
        <f>COUNTIF(TPR_PRE!H3:H202,"Faltan datos")</f>
        <v/>
      </c>
      <c r="E2" s="67">
        <f>COUNTIF(TPR_PRE!H3:H202,"Código no registrado")</f>
        <v/>
      </c>
      <c r="F2" s="67">
        <f>COUNTIF(TPR_PRE!H3:H202,"Tiempo no válido")</f>
        <v/>
      </c>
      <c r="G2" s="67">
        <f>COUNTIF(TPR_PRE!H3:H202,"Revisar: más de 60 min")</f>
        <v/>
      </c>
      <c r="H2" s="67">
        <f>COUNTIF(TPR_PRE!H3:H202,"Contradicción: resuelta y derivada")</f>
        <v/>
      </c>
    </row>
    <row r="3">
      <c r="A3" s="71" t="inlineStr">
        <is>
          <t>TPR_POST</t>
        </is>
      </c>
      <c r="B3" s="67">
        <f>COUNT(TPR_POST!B3:B202)</f>
        <v/>
      </c>
      <c r="C3" s="67">
        <f>COUNTIF(TPR_POST!H3:H202,"OK")</f>
        <v/>
      </c>
      <c r="D3" s="67">
        <f>COUNTIF(TPR_POST!H3:H202,"Faltan datos")</f>
        <v/>
      </c>
      <c r="E3" s="67">
        <f>COUNTIF(TPR_POST!H3:H202,"Código no registrado")</f>
        <v/>
      </c>
      <c r="F3" s="67">
        <f>COUNTIF(TPR_POST!H3:H202,"Tiempo no válido")</f>
        <v/>
      </c>
      <c r="G3" s="67">
        <f>COUNTIF(TPR_POST!H3:H202,"Revisar: más de 60 min")</f>
        <v/>
      </c>
      <c r="H3" s="67">
        <f>COUNTIF(TPR_POST!H3:H202,"Contradicción: resuelta y derivada")</f>
        <v/>
      </c>
    </row>
    <row r="4">
      <c r="A4" s="71" t="inlineStr">
        <is>
          <t>Ausentismo_PRE</t>
        </is>
      </c>
      <c r="B4" s="67">
        <f>COUNT(Ausentismo_PRE!B3:B202)</f>
        <v/>
      </c>
      <c r="C4" s="67">
        <f>COUNTIF(Ausentismo_PRE!H3:H202,"OK")</f>
        <v/>
      </c>
      <c r="D4" s="67">
        <f>COUNTIF(Ausentismo_PRE!H3:H202,"Faltan datos")</f>
        <v/>
      </c>
      <c r="E4" s="67">
        <f>COUNTIF(Ausentismo_PRE!H3:H202,"Código no registrado")</f>
        <v/>
      </c>
      <c r="F4" s="67">
        <f>COUNTIF(Ausentismo_PRE!H3:H202,"Tiempo no válido")</f>
        <v/>
      </c>
      <c r="G4" s="67">
        <f>COUNTIF(Ausentismo_PRE!H3:H202,"Revisar: más de 60 min")</f>
        <v/>
      </c>
      <c r="H4" s="67">
        <f>COUNTIF(Ausentismo_PRE!H3:H202,"Contradicción: resuelta y derivada")</f>
        <v/>
      </c>
    </row>
    <row r="5">
      <c r="A5" s="71" t="inlineStr">
        <is>
          <t>Ausentismo_POST</t>
        </is>
      </c>
      <c r="B5" s="67">
        <f>COUNT(Ausentismo_POST!B3:B202)</f>
        <v/>
      </c>
      <c r="C5" s="67">
        <f>COUNTIF(Ausentismo_POST!H3:H202,"OK")</f>
        <v/>
      </c>
      <c r="D5" s="67">
        <f>COUNTIF(Ausentismo_POST!H3:H202,"Faltan datos")</f>
        <v/>
      </c>
      <c r="E5" s="67">
        <f>COUNTIF(Ausentismo_POST!H3:H202,"Código no registrado")</f>
        <v/>
      </c>
      <c r="F5" s="67">
        <f>COUNTIF(Ausentismo_POST!H3:H202,"Tiempo no válido")</f>
        <v/>
      </c>
      <c r="G5" s="67">
        <f>COUNTIF(Ausentismo_POST!H3:H202,"Revisar: más de 60 min")</f>
        <v/>
      </c>
      <c r="H5" s="67">
        <f>COUNTIF(Ausentismo_POST!H3:H202,"Contradicción: resuelta y derivada")</f>
        <v/>
      </c>
    </row>
    <row r="6">
      <c r="A6" s="71" t="inlineStr">
        <is>
          <t>Consultas_PRE</t>
        </is>
      </c>
      <c r="B6" s="67">
        <f>COUNT(Consultas_PRE!B3:B202)</f>
        <v/>
      </c>
      <c r="C6" s="67">
        <f>COUNTIF(Consultas_PRE!I3:I202,"OK")</f>
        <v/>
      </c>
      <c r="D6" s="67">
        <f>COUNTIF(Consultas_PRE!I3:I202,"Faltan datos")</f>
        <v/>
      </c>
      <c r="E6" s="67">
        <f>COUNTIF(Consultas_PRE!I3:I202,"Código no registrado")</f>
        <v/>
      </c>
      <c r="F6" s="67">
        <f>COUNTIF(Consultas_PRE!I3:I202,"Tiempo no válido")</f>
        <v/>
      </c>
      <c r="G6" s="67">
        <f>COUNTIF(Consultas_PRE!I3:I202,"Revisar: más de 60 min")</f>
        <v/>
      </c>
      <c r="H6" s="67">
        <f>COUNTIF(Consultas_PRE!I3:I202,"Contradicción: resuelta y derivada")</f>
        <v/>
      </c>
    </row>
    <row r="7">
      <c r="A7" s="71" t="inlineStr">
        <is>
          <t>Consultas_POST</t>
        </is>
      </c>
      <c r="B7" s="67">
        <f>COUNT(Consultas_POST!B3:B202)</f>
        <v/>
      </c>
      <c r="C7" s="67">
        <f>COUNTIF(Consultas_POST!I3:I202,"OK")</f>
        <v/>
      </c>
      <c r="D7" s="67">
        <f>COUNTIF(Consultas_POST!I3:I202,"Faltan datos")</f>
        <v/>
      </c>
      <c r="E7" s="67">
        <f>COUNTIF(Consultas_POST!I3:I202,"Código no registrado")</f>
        <v/>
      </c>
      <c r="F7" s="67">
        <f>COUNTIF(Consultas_POST!I3:I202,"Tiempo no válido")</f>
        <v/>
      </c>
      <c r="G7" s="67">
        <f>COUNTIF(Consultas_POST!I3:I202,"Revisar: más de 60 min")</f>
        <v/>
      </c>
      <c r="H7" s="67">
        <f>COUNTIF(Consultas_POST!I3:I202,"Contradicción: resuelta y derivada")</f>
        <v/>
      </c>
    </row>
    <row r="8">
      <c r="A8" s="26" t="inlineStr">
        <is>
          <t>Consentimientos</t>
        </is>
      </c>
      <c r="B8" s="26">
        <f>COUNTIF(Consentimientos!B2:B46,"Sí")</f>
        <v/>
      </c>
      <c r="C8" s="26">
        <f>COUNTIF(Consentimientos!G2:G46,"OK")</f>
        <v/>
      </c>
      <c r="D8" s="26">
        <f>COUNTIF(Consentimientos!G2:G46,"Falta fecha de firma")+COUNTIF(Consentimientos!G2:G46,"Sin consentimiento*")</f>
        <v/>
      </c>
    </row>
    <row r="10" ht="30" customHeight="1" s="27">
      <c r="A10" s="65" t="inlineStr">
        <is>
          <t>Regla: antes de pasar los datos a SPSS, todas las filas deben estar en "OK" o tener su corrección documentada. "Revisar" no implica excluir: se verifica contra la fuente y se conserva si es real.</t>
        </is>
      </c>
    </row>
    <row r="11"/>
  </sheetData>
  <mergeCells count="1">
    <mergeCell ref="A10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DATOS SIMULADOS - NO USAR EN LA TESIS</dc:title>
  <dc:language xmlns:dc="http://purl.org/dc/elements/1.1/">en-US</dc:language>
  <dcterms:created xmlns:dcterms="http://purl.org/dc/terms/" xmlns:xsi="http://www.w3.org/2001/XMLSchema-instance" xsi:type="dcterms:W3CDTF">2026-09-26T20:21:08Z</dcterms:created>
  <dcterms:modified xmlns:dcterms="http://purl.org/dc/terms/" xmlns:xsi="http://www.w3.org/2001/XMLSchema-instance" xsi:type="dcterms:W3CDTF">2026-09-27T02:20:33Z</dcterms:modified>
  <cp:revision>0</cp:revision>
</cp:coreProperties>
</file>