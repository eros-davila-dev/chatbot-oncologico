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Juez1" sheetId="2" state="visible" r:id="rId2"/>
    <sheet xmlns:r="http://schemas.openxmlformats.org/officeDocument/2006/relationships" name="Juez2" sheetId="3" state="visible" r:id="rId3"/>
    <sheet xmlns:r="http://schemas.openxmlformats.org/officeDocument/2006/relationships" name="Juez3" sheetId="4" state="visible" r:id="rId4"/>
    <sheet xmlns:r="http://schemas.openxmlformats.org/officeDocument/2006/relationships" name="Resultados" sheetId="5" state="visible" r:id="rId5"/>
    <sheet xmlns:r="http://schemas.openxmlformats.org/officeDocument/2006/relationships" name="Resum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E75B6"/>
      <sz val="13"/>
    </font>
    <font>
      <b val="1"/>
      <color rgb="002E75B6"/>
      <sz val="12"/>
    </font>
    <font>
      <b val="1"/>
    </font>
    <font>
      <b val="1"/>
      <color rgb="00FFFFFF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horizontal="center" vertical="top"/>
    </xf>
    <xf numFmtId="0" fontId="0" fillId="2" borderId="1" applyAlignment="1" pivotButton="0" quotePrefix="0" xfId="0">
      <alignment vertical="top" wrapText="1"/>
    </xf>
    <xf numFmtId="2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0" borderId="1" pivotButton="0" quotePrefix="0" xfId="0"/>
    <xf numFmtId="0" fontId="0" fillId="4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VALIDACIÓN DE CONTENIDO POR JUICIO DE EXPERTOS — COEFICIENTE V DE AIKEN</t>
        </is>
      </c>
    </row>
    <row r="2">
      <c r="A2" s="2" t="inlineStr">
        <is>
          <t>Investigación: Sistema web con chatbot para la gestión de pacientes en una fundación oncológica privada de Lima, 2026</t>
        </is>
      </c>
    </row>
    <row r="3">
      <c r="A3" s="2" t="inlineStr"/>
    </row>
    <row r="4" ht="32" customHeight="1">
      <c r="A4" s="2" t="inlineStr">
        <is>
          <t>1. Cada juez califica cada ítem (campo o funcionalidad) en cuatro criterios: suficiencia, claridad, coherencia y relevancia, con 1 = de acuerdo y 0 = en desacuerdo (Escobar-Pérez y Cuervo-Martínez, 2008).</t>
        </is>
      </c>
    </row>
    <row r="5" ht="32" customHeight="1">
      <c r="A5" s="2" t="inlineStr">
        <is>
          <t>2. Transcriba en las hojas Juez1, Juez2 y Juez3 las calificaciones EXACTAS de cada ficha firmada. No complete celdas sin ficha firmada.</t>
        </is>
      </c>
    </row>
    <row r="6" ht="32" customHeight="1">
      <c r="A6" s="2" t="inlineStr">
        <is>
          <t>3. La hoja Resultados calcula el coeficiente V de Aiken (Aiken, 1985) por ítem y criterio: V = S / [n(c − 1)], con n = 3 jueces y c = 2 categorías; es decir, V = suma de calificaciones / 3.</t>
        </is>
      </c>
    </row>
    <row r="7" ht="32" customHeight="1">
      <c r="A7" s="2" t="inlineStr">
        <is>
          <t>4. Regla de decisión del estudio: V = 1,00 → válido; V = 0,67 → revisar según las observaciones del juez; V ≤ 0,33 → reformular. Con solo tres jueces, únicamente V = 1,00 expresa acuerdo unánime.</t>
        </is>
      </c>
    </row>
    <row r="8" ht="32" customHeight="1">
      <c r="A8" s="2" t="inlineStr">
        <is>
          <t>5. La hoja Resumen muestra el V promedio por instrumento y el número de ítems por decisión. Registre también la opinión de aplicabilidad de cada juez.</t>
        </is>
      </c>
    </row>
    <row r="9" ht="32" customHeight="1">
      <c r="A9" s="2" t="inlineStr">
        <is>
          <t>Celdas amarillas: ingreso de datos. Celdas azules: cálculo automático.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5" ySplit="13" topLeftCell="F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4" customWidth="1" min="2" max="2"/>
    <col width="24" customWidth="1" min="3" max="3"/>
    <col width="13" customWidth="1" min="4" max="4"/>
    <col width="48" customWidth="1" min="5" max="5"/>
    <col width="11" customWidth="1" min="6" max="6"/>
    <col width="11" customWidth="1" min="7" max="7"/>
    <col width="11" customWidth="1" min="8" max="8"/>
    <col width="11" customWidth="1" min="9" max="9"/>
    <col width="40" customWidth="1" min="10" max="10"/>
  </cols>
  <sheetData>
    <row r="1">
      <c r="A1" s="3" t="inlineStr">
        <is>
          <t>JUEZ 1 — datos del experto</t>
        </is>
      </c>
    </row>
    <row r="2">
      <c r="A2" s="4" t="inlineStr">
        <is>
          <t>Nombres y apellidos</t>
        </is>
      </c>
      <c r="B2" s="5" t="n"/>
    </row>
    <row r="3">
      <c r="A3" s="4" t="inlineStr">
        <is>
          <t>Documento de identidad</t>
        </is>
      </c>
      <c r="B3" s="5" t="n"/>
    </row>
    <row r="4">
      <c r="A4" s="4" t="inlineStr">
        <is>
          <t>Máximo grado académico</t>
        </is>
      </c>
      <c r="B4" s="5" t="n"/>
    </row>
    <row r="5">
      <c r="A5" s="4" t="inlineStr">
        <is>
          <t>Especialidad</t>
        </is>
      </c>
      <c r="B5" s="5" t="n"/>
    </row>
    <row r="6">
      <c r="A6" s="4" t="inlineStr">
        <is>
          <t>Años de experiencia laboral</t>
        </is>
      </c>
      <c r="B6" s="5" t="n"/>
    </row>
    <row r="7">
      <c r="A7" s="4" t="inlineStr">
        <is>
          <t>Institución laboral</t>
        </is>
      </c>
      <c r="B7" s="5" t="n"/>
    </row>
    <row r="8">
      <c r="A8" s="4" t="inlineStr">
        <is>
          <t>Labor que desempeña</t>
        </is>
      </c>
      <c r="B8" s="5" t="n"/>
    </row>
    <row r="9">
      <c r="A9" s="4" t="inlineStr">
        <is>
          <t>Correo electrónico</t>
        </is>
      </c>
      <c r="B9" s="5" t="n"/>
    </row>
    <row r="10">
      <c r="A10" s="4" t="inlineStr">
        <is>
          <t>Fecha de validación (dd/mm/aaaa)</t>
        </is>
      </c>
      <c r="B10" s="5" t="n"/>
    </row>
    <row r="11">
      <c r="A11" s="4" t="inlineStr">
        <is>
          <t>Opinión de aplicabilidad</t>
        </is>
      </c>
      <c r="B11" s="5" t="n"/>
    </row>
    <row r="13" ht="30" customHeight="1">
      <c r="A13" s="6" t="inlineStr">
        <is>
          <t>N.°</t>
        </is>
      </c>
      <c r="B13" s="6" t="inlineStr">
        <is>
          <t>Instrumento</t>
        </is>
      </c>
      <c r="C13" s="6" t="inlineStr">
        <is>
          <t>Dimensión</t>
        </is>
      </c>
      <c r="D13" s="6" t="inlineStr">
        <is>
          <t>Indicador</t>
        </is>
      </c>
      <c r="E13" s="6" t="inlineStr">
        <is>
          <t>Ítem (campo o funcionalidad)</t>
        </is>
      </c>
      <c r="F13" s="6" t="inlineStr">
        <is>
          <t>Suficiencia</t>
        </is>
      </c>
      <c r="G13" s="6" t="inlineStr">
        <is>
          <t>Claridad</t>
        </is>
      </c>
      <c r="H13" s="6" t="inlineStr">
        <is>
          <t>Coherencia</t>
        </is>
      </c>
      <c r="I13" s="6" t="inlineStr">
        <is>
          <t>Relevancia</t>
        </is>
      </c>
      <c r="J13" s="6" t="inlineStr">
        <is>
          <t>Observación</t>
        </is>
      </c>
    </row>
    <row r="14">
      <c r="A14" s="7" t="n">
        <v>1</v>
      </c>
      <c r="B14" s="7" t="inlineStr">
        <is>
          <t>Instrumento 1. Ficha de registro de tiempos</t>
        </is>
      </c>
      <c r="C14" s="7" t="inlineStr">
        <is>
          <t>Registro de pacientes</t>
        </is>
      </c>
      <c r="D14" s="7" t="inlineStr">
        <is>
          <t>TPR</t>
        </is>
      </c>
      <c r="E14" s="7" t="inlineStr">
        <is>
          <t>Fecha de sesión</t>
        </is>
      </c>
      <c r="F14" s="8" t="n"/>
      <c r="G14" s="8" t="n"/>
      <c r="H14" s="8" t="n"/>
      <c r="I14" s="8" t="n"/>
      <c r="J14" s="9" t="n"/>
    </row>
    <row r="15">
      <c r="A15" s="7" t="n">
        <v>2</v>
      </c>
      <c r="B15" s="7" t="inlineStr">
        <is>
          <t>Instrumento 1. Ficha de registro de tiempos</t>
        </is>
      </c>
      <c r="C15" s="7" t="inlineStr">
        <is>
          <t>Registro de pacientes</t>
        </is>
      </c>
      <c r="D15" s="7" t="inlineStr">
        <is>
          <t>TPR</t>
        </is>
      </c>
      <c r="E15" s="7" t="inlineStr">
        <is>
          <t>Código del paciente</t>
        </is>
      </c>
      <c r="F15" s="8" t="n"/>
      <c r="G15" s="8" t="n"/>
      <c r="H15" s="8" t="n"/>
      <c r="I15" s="8" t="n"/>
      <c r="J15" s="9" t="n"/>
    </row>
    <row r="16">
      <c r="A16" s="7" t="n">
        <v>3</v>
      </c>
      <c r="B16" s="7" t="inlineStr">
        <is>
          <t>Instrumento 1. Ficha de registro de tiempos</t>
        </is>
      </c>
      <c r="C16" s="7" t="inlineStr">
        <is>
          <t>Registro de pacientes</t>
        </is>
      </c>
      <c r="D16" s="7" t="inlineStr">
        <is>
          <t>TPR</t>
        </is>
      </c>
      <c r="E16" s="7" t="inlineStr">
        <is>
          <t>Hora de inicio del registro</t>
        </is>
      </c>
      <c r="F16" s="8" t="n"/>
      <c r="G16" s="8" t="n"/>
      <c r="H16" s="8" t="n"/>
      <c r="I16" s="8" t="n"/>
      <c r="J16" s="9" t="n"/>
    </row>
    <row r="17">
      <c r="A17" s="7" t="n">
        <v>4</v>
      </c>
      <c r="B17" s="7" t="inlineStr">
        <is>
          <t>Instrumento 1. Ficha de registro de tiempos</t>
        </is>
      </c>
      <c r="C17" s="7" t="inlineStr">
        <is>
          <t>Registro de pacientes</t>
        </is>
      </c>
      <c r="D17" s="7" t="inlineStr">
        <is>
          <t>TPR</t>
        </is>
      </c>
      <c r="E17" s="7" t="inlineStr">
        <is>
          <t>Hora de fin del registro</t>
        </is>
      </c>
      <c r="F17" s="8" t="n"/>
      <c r="G17" s="8" t="n"/>
      <c r="H17" s="8" t="n"/>
      <c r="I17" s="8" t="n"/>
      <c r="J17" s="9" t="n"/>
    </row>
    <row r="18">
      <c r="A18" s="7" t="n">
        <v>5</v>
      </c>
      <c r="B18" s="7" t="inlineStr">
        <is>
          <t>Instrumento 1. Ficha de registro de tiempos</t>
        </is>
      </c>
      <c r="C18" s="7" t="inlineStr">
        <is>
          <t>Registro de pacientes</t>
        </is>
      </c>
      <c r="D18" s="7" t="inlineStr">
        <is>
          <t>TPR</t>
        </is>
      </c>
      <c r="E18" s="7" t="inlineStr">
        <is>
          <t>Tiempo del registro (min, calculado)</t>
        </is>
      </c>
      <c r="F18" s="8" t="n"/>
      <c r="G18" s="8" t="n"/>
      <c r="H18" s="8" t="n"/>
      <c r="I18" s="8" t="n"/>
      <c r="J18" s="9" t="n"/>
    </row>
    <row r="19">
      <c r="A19" s="7" t="n">
        <v>6</v>
      </c>
      <c r="B19" s="7" t="inlineStr">
        <is>
          <t>Instrumento 1. Ficha de registro de tiempos</t>
        </is>
      </c>
      <c r="C19" s="7" t="inlineStr">
        <is>
          <t>Registro de pacientes</t>
        </is>
      </c>
      <c r="D19" s="7" t="inlineStr">
        <is>
          <t>TPR</t>
        </is>
      </c>
      <c r="E19" s="7" t="inlineStr">
        <is>
          <t>Modalidad (manual / sistema)</t>
        </is>
      </c>
      <c r="F19" s="8" t="n"/>
      <c r="G19" s="8" t="n"/>
      <c r="H19" s="8" t="n"/>
      <c r="I19" s="8" t="n"/>
      <c r="J19" s="9" t="n"/>
    </row>
    <row r="20">
      <c r="A20" s="7" t="n">
        <v>7</v>
      </c>
      <c r="B20" s="7" t="inlineStr">
        <is>
          <t>Instrumento 2A. Ficha de gestión: citas</t>
        </is>
      </c>
      <c r="C20" s="7" t="inlineStr">
        <is>
          <t>Agendamiento de citas médicas</t>
        </is>
      </c>
      <c r="D20" s="7" t="inlineStr">
        <is>
          <t>TA</t>
        </is>
      </c>
      <c r="E20" s="7" t="inlineStr">
        <is>
          <t>Fecha de sesión</t>
        </is>
      </c>
      <c r="F20" s="8" t="n"/>
      <c r="G20" s="8" t="n"/>
      <c r="H20" s="8" t="n"/>
      <c r="I20" s="8" t="n"/>
      <c r="J20" s="9" t="n"/>
    </row>
    <row r="21">
      <c r="A21" s="7" t="n">
        <v>8</v>
      </c>
      <c r="B21" s="7" t="inlineStr">
        <is>
          <t>Instrumento 2A. Ficha de gestión: citas</t>
        </is>
      </c>
      <c r="C21" s="7" t="inlineStr">
        <is>
          <t>Agendamiento de citas médicas</t>
        </is>
      </c>
      <c r="D21" s="7" t="inlineStr">
        <is>
          <t>TA</t>
        </is>
      </c>
      <c r="E21" s="7" t="inlineStr">
        <is>
          <t>Código del paciente</t>
        </is>
      </c>
      <c r="F21" s="8" t="n"/>
      <c r="G21" s="8" t="n"/>
      <c r="H21" s="8" t="n"/>
      <c r="I21" s="8" t="n"/>
      <c r="J21" s="9" t="n"/>
    </row>
    <row r="22">
      <c r="A22" s="7" t="n">
        <v>9</v>
      </c>
      <c r="B22" s="7" t="inlineStr">
        <is>
          <t>Instrumento 2A. Ficha de gestión: citas</t>
        </is>
      </c>
      <c r="C22" s="7" t="inlineStr">
        <is>
          <t>Agendamiento de citas médicas</t>
        </is>
      </c>
      <c r="D22" s="7" t="inlineStr">
        <is>
          <t>TA</t>
        </is>
      </c>
      <c r="E22" s="7" t="inlineStr">
        <is>
          <t>Estado de la cita (asistió / no asistió / cancelada / reprogramada)</t>
        </is>
      </c>
      <c r="F22" s="8" t="n"/>
      <c r="G22" s="8" t="n"/>
      <c r="H22" s="8" t="n"/>
      <c r="I22" s="8" t="n"/>
      <c r="J22" s="9" t="n"/>
    </row>
    <row r="23">
      <c r="A23" s="7" t="n">
        <v>10</v>
      </c>
      <c r="B23" s="7" t="inlineStr">
        <is>
          <t>Instrumento 2A. Ficha de gestión: citas</t>
        </is>
      </c>
      <c r="C23" s="7" t="inlineStr">
        <is>
          <t>Agendamiento de citas médicas</t>
        </is>
      </c>
      <c r="D23" s="7" t="inlineStr">
        <is>
          <t>TA</t>
        </is>
      </c>
      <c r="E23" s="7" t="inlineStr">
        <is>
          <t>Recordatorio enviado</t>
        </is>
      </c>
      <c r="F23" s="8" t="n"/>
      <c r="G23" s="8" t="n"/>
      <c r="H23" s="8" t="n"/>
      <c r="I23" s="8" t="n"/>
      <c r="J23" s="9" t="n"/>
    </row>
    <row r="24">
      <c r="A24" s="7" t="n">
        <v>11</v>
      </c>
      <c r="B24" s="7" t="inlineStr">
        <is>
          <t>Instrumento 2B. Ficha de gestión: consultas</t>
        </is>
      </c>
      <c r="C24" s="7" t="inlineStr">
        <is>
          <t>Eficacia de la atención</t>
        </is>
      </c>
      <c r="D24" s="7" t="inlineStr">
        <is>
          <t>NCA</t>
        </is>
      </c>
      <c r="E24" s="7" t="inlineStr">
        <is>
          <t>Fecha de sesión</t>
        </is>
      </c>
      <c r="F24" s="8" t="n"/>
      <c r="G24" s="8" t="n"/>
      <c r="H24" s="8" t="n"/>
      <c r="I24" s="8" t="n"/>
      <c r="J24" s="9" t="n"/>
    </row>
    <row r="25">
      <c r="A25" s="7" t="n">
        <v>12</v>
      </c>
      <c r="B25" s="7" t="inlineStr">
        <is>
          <t>Instrumento 2B. Ficha de gestión: consultas</t>
        </is>
      </c>
      <c r="C25" s="7" t="inlineStr">
        <is>
          <t>Eficacia de la atención</t>
        </is>
      </c>
      <c r="D25" s="7" t="inlineStr">
        <is>
          <t>NCA</t>
        </is>
      </c>
      <c r="E25" s="7" t="inlineStr">
        <is>
          <t>Código del paciente</t>
        </is>
      </c>
      <c r="F25" s="8" t="n"/>
      <c r="G25" s="8" t="n"/>
      <c r="H25" s="8" t="n"/>
      <c r="I25" s="8" t="n"/>
      <c r="J25" s="9" t="n"/>
    </row>
    <row r="26">
      <c r="A26" s="7" t="n">
        <v>13</v>
      </c>
      <c r="B26" s="7" t="inlineStr">
        <is>
          <t>Instrumento 2B. Ficha de gestión: consultas</t>
        </is>
      </c>
      <c r="C26" s="7" t="inlineStr">
        <is>
          <t>Eficacia de la atención</t>
        </is>
      </c>
      <c r="D26" s="7" t="inlineStr">
        <is>
          <t>NCA</t>
        </is>
      </c>
      <c r="E26" s="7" t="inlineStr">
        <is>
          <t>Categoría de la consulta</t>
        </is>
      </c>
      <c r="F26" s="8" t="n"/>
      <c r="G26" s="8" t="n"/>
      <c r="H26" s="8" t="n"/>
      <c r="I26" s="8" t="n"/>
      <c r="J26" s="9" t="n"/>
    </row>
    <row r="27">
      <c r="A27" s="7" t="n">
        <v>14</v>
      </c>
      <c r="B27" s="7" t="inlineStr">
        <is>
          <t>Instrumento 2B. Ficha de gestión: consultas</t>
        </is>
      </c>
      <c r="C27" s="7" t="inlineStr">
        <is>
          <t>Eficacia de la atención</t>
        </is>
      </c>
      <c r="D27" s="7" t="inlineStr">
        <is>
          <t>NCA</t>
        </is>
      </c>
      <c r="E27" s="7" t="inlineStr">
        <is>
          <t>Canal de atención</t>
        </is>
      </c>
      <c r="F27" s="8" t="n"/>
      <c r="G27" s="8" t="n"/>
      <c r="H27" s="8" t="n"/>
      <c r="I27" s="8" t="n"/>
      <c r="J27" s="9" t="n"/>
    </row>
    <row r="28">
      <c r="A28" s="7" t="n">
        <v>15</v>
      </c>
      <c r="B28" s="7" t="inlineStr">
        <is>
          <t>Instrumento 2B. Ficha de gestión: consultas</t>
        </is>
      </c>
      <c r="C28" s="7" t="inlineStr">
        <is>
          <t>Eficacia de la atención</t>
        </is>
      </c>
      <c r="D28" s="7" t="inlineStr">
        <is>
          <t>NCA</t>
        </is>
      </c>
      <c r="E28" s="7" t="inlineStr">
        <is>
          <t>Resuelta en el primer contacto</t>
        </is>
      </c>
      <c r="F28" s="8" t="n"/>
      <c r="G28" s="8" t="n"/>
      <c r="H28" s="8" t="n"/>
      <c r="I28" s="8" t="n"/>
      <c r="J28" s="9" t="n"/>
    </row>
    <row r="29">
      <c r="A29" s="7" t="n">
        <v>16</v>
      </c>
      <c r="B29" s="7" t="inlineStr">
        <is>
          <t>Instrumento 2B. Ficha de gestión: consultas</t>
        </is>
      </c>
      <c r="C29" s="7" t="inlineStr">
        <is>
          <t>Eficacia de la atención</t>
        </is>
      </c>
      <c r="D29" s="7" t="inlineStr">
        <is>
          <t>NCA</t>
        </is>
      </c>
      <c r="E29" s="7" t="inlineStr">
        <is>
          <t>Derivada a otra persona o área</t>
        </is>
      </c>
      <c r="F29" s="8" t="n"/>
      <c r="G29" s="8" t="n"/>
      <c r="H29" s="8" t="n"/>
      <c r="I29" s="8" t="n"/>
      <c r="J29" s="9" t="n"/>
    </row>
    <row r="30">
      <c r="A30" s="7" t="n">
        <v>17</v>
      </c>
      <c r="B30" s="7" t="inlineStr">
        <is>
          <t>Instrumento 2B. Ficha de gestión: consultas</t>
        </is>
      </c>
      <c r="C30" s="7" t="inlineStr">
        <is>
          <t>Eficacia de la atención</t>
        </is>
      </c>
      <c r="D30" s="7" t="inlineStr">
        <is>
          <t>NCA</t>
        </is>
      </c>
      <c r="E30" s="7" t="inlineStr">
        <is>
          <t>Tiempo de respuesta (min)</t>
        </is>
      </c>
      <c r="F30" s="8" t="n"/>
      <c r="G30" s="8" t="n"/>
      <c r="H30" s="8" t="n"/>
      <c r="I30" s="8" t="n"/>
      <c r="J30" s="9" t="n"/>
    </row>
    <row r="31">
      <c r="A31" s="7" t="n">
        <v>18</v>
      </c>
      <c r="B31" s="7" t="inlineStr">
        <is>
          <t>Instrumento 3. Ficha de verificación (VI)</t>
        </is>
      </c>
      <c r="C31" s="7" t="inlineStr">
        <is>
          <t>Módulo de registro</t>
        </is>
      </c>
      <c r="D31" s="7" t="inlineStr">
        <is>
          <t>Implementación</t>
        </is>
      </c>
      <c r="E31" s="7" t="inlineStr">
        <is>
          <t>Alta de paciente con validación de campos obligatorios</t>
        </is>
      </c>
      <c r="F31" s="8" t="n"/>
      <c r="G31" s="8" t="n"/>
      <c r="H31" s="8" t="n"/>
      <c r="I31" s="8" t="n"/>
      <c r="J31" s="9" t="n"/>
    </row>
    <row r="32">
      <c r="A32" s="7" t="n">
        <v>19</v>
      </c>
      <c r="B32" s="7" t="inlineStr">
        <is>
          <t>Instrumento 3. Ficha de verificación (VI)</t>
        </is>
      </c>
      <c r="C32" s="7" t="inlineStr">
        <is>
          <t>Módulo de registro</t>
        </is>
      </c>
      <c r="D32" s="7" t="inlineStr">
        <is>
          <t>Implementación</t>
        </is>
      </c>
      <c r="E32" s="7" t="inlineStr">
        <is>
          <t>Almacenamiento con marca de tiempo de inicio y fin</t>
        </is>
      </c>
      <c r="F32" s="8" t="n"/>
      <c r="G32" s="8" t="n"/>
      <c r="H32" s="8" t="n"/>
      <c r="I32" s="8" t="n"/>
      <c r="J32" s="9" t="n"/>
    </row>
    <row r="33">
      <c r="A33" s="7" t="n">
        <v>20</v>
      </c>
      <c r="B33" s="7" t="inlineStr">
        <is>
          <t>Instrumento 3. Ficha de verificación (VI)</t>
        </is>
      </c>
      <c r="C33" s="7" t="inlineStr">
        <is>
          <t>Módulo de agendamiento</t>
        </is>
      </c>
      <c r="D33" s="7" t="inlineStr">
        <is>
          <t>Implementación</t>
        </is>
      </c>
      <c r="E33" s="7" t="inlineStr">
        <is>
          <t>Creación de cita con fecha, hora y servicio</t>
        </is>
      </c>
      <c r="F33" s="8" t="n"/>
      <c r="G33" s="8" t="n"/>
      <c r="H33" s="8" t="n"/>
      <c r="I33" s="8" t="n"/>
      <c r="J33" s="9" t="n"/>
    </row>
    <row r="34">
      <c r="A34" s="7" t="n">
        <v>21</v>
      </c>
      <c r="B34" s="7" t="inlineStr">
        <is>
          <t>Instrumento 3. Ficha de verificación (VI)</t>
        </is>
      </c>
      <c r="C34" s="7" t="inlineStr">
        <is>
          <t>Módulo de agendamiento</t>
        </is>
      </c>
      <c r="D34" s="7" t="inlineStr">
        <is>
          <t>Implementación</t>
        </is>
      </c>
      <c r="E34" s="7" t="inlineStr">
        <is>
          <t>Envío automático del recordatorio</t>
        </is>
      </c>
      <c r="F34" s="8" t="n"/>
      <c r="G34" s="8" t="n"/>
      <c r="H34" s="8" t="n"/>
      <c r="I34" s="8" t="n"/>
      <c r="J34" s="9" t="n"/>
    </row>
    <row r="35">
      <c r="A35" s="7" t="n">
        <v>22</v>
      </c>
      <c r="B35" s="7" t="inlineStr">
        <is>
          <t>Instrumento 3. Ficha de verificación (VI)</t>
        </is>
      </c>
      <c r="C35" s="7" t="inlineStr">
        <is>
          <t>Módulo de agendamiento</t>
        </is>
      </c>
      <c r="D35" s="7" t="inlineStr">
        <is>
          <t>Implementación</t>
        </is>
      </c>
      <c r="E35" s="7" t="inlineStr">
        <is>
          <t>Registro de cancelación o reprogramación con aviso</t>
        </is>
      </c>
      <c r="F35" s="8" t="n"/>
      <c r="G35" s="8" t="n"/>
      <c r="H35" s="8" t="n"/>
      <c r="I35" s="8" t="n"/>
      <c r="J35" s="9" t="n"/>
    </row>
    <row r="36">
      <c r="A36" s="7" t="n">
        <v>23</v>
      </c>
      <c r="B36" s="7" t="inlineStr">
        <is>
          <t>Instrumento 3. Ficha de verificación (VI)</t>
        </is>
      </c>
      <c r="C36" s="7" t="inlineStr">
        <is>
          <t>Módulo de chatbot</t>
        </is>
      </c>
      <c r="D36" s="7" t="inlineStr">
        <is>
          <t>Implementación</t>
        </is>
      </c>
      <c r="E36" s="7" t="inlineStr">
        <is>
          <t>Respuesta a una consulta de cada categoría</t>
        </is>
      </c>
      <c r="F36" s="8" t="n"/>
      <c r="G36" s="8" t="n"/>
      <c r="H36" s="8" t="n"/>
      <c r="I36" s="8" t="n"/>
      <c r="J36" s="9" t="n"/>
    </row>
    <row r="37">
      <c r="A37" s="7" t="n">
        <v>24</v>
      </c>
      <c r="B37" s="7" t="inlineStr">
        <is>
          <t>Instrumento 3. Ficha de verificación (VI)</t>
        </is>
      </c>
      <c r="C37" s="7" t="inlineStr">
        <is>
          <t>Módulo de chatbot</t>
        </is>
      </c>
      <c r="D37" s="7" t="inlineStr">
        <is>
          <t>Implementación</t>
        </is>
      </c>
      <c r="E37" s="7" t="inlineStr">
        <is>
          <t>Derivación al personal cuando no puede resolver</t>
        </is>
      </c>
      <c r="F37" s="8" t="n"/>
      <c r="G37" s="8" t="n"/>
      <c r="H37" s="8" t="n"/>
      <c r="I37" s="8" t="n"/>
      <c r="J37" s="9" t="n"/>
    </row>
    <row r="38">
      <c r="A38" s="7" t="n">
        <v>25</v>
      </c>
      <c r="B38" s="7" t="inlineStr">
        <is>
          <t>Instrumento 3. Ficha de verificación (VI)</t>
        </is>
      </c>
      <c r="C38" s="7" t="inlineStr">
        <is>
          <t>Módulo de chatbot</t>
        </is>
      </c>
      <c r="D38" s="7" t="inlineStr">
        <is>
          <t>Implementación</t>
        </is>
      </c>
      <c r="E38" s="7" t="inlineStr">
        <is>
          <t>Registro de cada consulta con categoría, resolución y derivación</t>
        </is>
      </c>
      <c r="F38" s="8" t="n"/>
      <c r="G38" s="8" t="n"/>
      <c r="H38" s="8" t="n"/>
      <c r="I38" s="8" t="n"/>
      <c r="J38" s="9" t="n"/>
    </row>
  </sheetData>
  <dataValidations count="2">
    <dataValidation sqref="B11" showDropDown="0" showInputMessage="0" showErrorMessage="0" allowBlank="1" type="list">
      <formula1>"Aplicable,Aplicable después de corregir,No aplicable"</formula1>
    </dataValidation>
    <dataValidation sqref="F14:I14 F15:I15 F16:I16 F17:I17 F18:I18 F19:I19 F20:I20 F21:I21 F22:I22 F23:I23 F24:I24 F25:I25 F26:I26 F27:I27 F28:I28 F29:I29 F30:I30 F31:I31 F32:I32 F33:I33 F34:I34 F35:I35 F36:I36 F37:I37 F38:I38" showDropDown="0" showInputMessage="0" showErrorMessage="1" allowBlank="1" error="Ingrese 1 (de acuerdo) o 0 (en desacuerdo)" type="whole" operator="between">
      <formula1>0</formula1>
      <formula2>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5" ySplit="13" topLeftCell="F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4" customWidth="1" min="2" max="2"/>
    <col width="24" customWidth="1" min="3" max="3"/>
    <col width="13" customWidth="1" min="4" max="4"/>
    <col width="48" customWidth="1" min="5" max="5"/>
    <col width="11" customWidth="1" min="6" max="6"/>
    <col width="11" customWidth="1" min="7" max="7"/>
    <col width="11" customWidth="1" min="8" max="8"/>
    <col width="11" customWidth="1" min="9" max="9"/>
    <col width="40" customWidth="1" min="10" max="10"/>
  </cols>
  <sheetData>
    <row r="1">
      <c r="A1" s="3" t="inlineStr">
        <is>
          <t>JUEZ 2 — datos del experto</t>
        </is>
      </c>
    </row>
    <row r="2">
      <c r="A2" s="4" t="inlineStr">
        <is>
          <t>Nombres y apellidos</t>
        </is>
      </c>
      <c r="B2" s="5" t="n"/>
    </row>
    <row r="3">
      <c r="A3" s="4" t="inlineStr">
        <is>
          <t>Documento de identidad</t>
        </is>
      </c>
      <c r="B3" s="5" t="n"/>
    </row>
    <row r="4">
      <c r="A4" s="4" t="inlineStr">
        <is>
          <t>Máximo grado académico</t>
        </is>
      </c>
      <c r="B4" s="5" t="n"/>
    </row>
    <row r="5">
      <c r="A5" s="4" t="inlineStr">
        <is>
          <t>Especialidad</t>
        </is>
      </c>
      <c r="B5" s="5" t="n"/>
    </row>
    <row r="6">
      <c r="A6" s="4" t="inlineStr">
        <is>
          <t>Años de experiencia laboral</t>
        </is>
      </c>
      <c r="B6" s="5" t="n"/>
    </row>
    <row r="7">
      <c r="A7" s="4" t="inlineStr">
        <is>
          <t>Institución laboral</t>
        </is>
      </c>
      <c r="B7" s="5" t="n"/>
    </row>
    <row r="8">
      <c r="A8" s="4" t="inlineStr">
        <is>
          <t>Labor que desempeña</t>
        </is>
      </c>
      <c r="B8" s="5" t="n"/>
    </row>
    <row r="9">
      <c r="A9" s="4" t="inlineStr">
        <is>
          <t>Correo electrónico</t>
        </is>
      </c>
      <c r="B9" s="5" t="n"/>
    </row>
    <row r="10">
      <c r="A10" s="4" t="inlineStr">
        <is>
          <t>Fecha de validación (dd/mm/aaaa)</t>
        </is>
      </c>
      <c r="B10" s="5" t="n"/>
    </row>
    <row r="11">
      <c r="A11" s="4" t="inlineStr">
        <is>
          <t>Opinión de aplicabilidad</t>
        </is>
      </c>
      <c r="B11" s="5" t="n"/>
    </row>
    <row r="13" ht="30" customHeight="1">
      <c r="A13" s="6" t="inlineStr">
        <is>
          <t>N.°</t>
        </is>
      </c>
      <c r="B13" s="6" t="inlineStr">
        <is>
          <t>Instrumento</t>
        </is>
      </c>
      <c r="C13" s="6" t="inlineStr">
        <is>
          <t>Dimensión</t>
        </is>
      </c>
      <c r="D13" s="6" t="inlineStr">
        <is>
          <t>Indicador</t>
        </is>
      </c>
      <c r="E13" s="6" t="inlineStr">
        <is>
          <t>Ítem (campo o funcionalidad)</t>
        </is>
      </c>
      <c r="F13" s="6" t="inlineStr">
        <is>
          <t>Suficiencia</t>
        </is>
      </c>
      <c r="G13" s="6" t="inlineStr">
        <is>
          <t>Claridad</t>
        </is>
      </c>
      <c r="H13" s="6" t="inlineStr">
        <is>
          <t>Coherencia</t>
        </is>
      </c>
      <c r="I13" s="6" t="inlineStr">
        <is>
          <t>Relevancia</t>
        </is>
      </c>
      <c r="J13" s="6" t="inlineStr">
        <is>
          <t>Observación</t>
        </is>
      </c>
    </row>
    <row r="14">
      <c r="A14" s="7" t="n">
        <v>1</v>
      </c>
      <c r="B14" s="7" t="inlineStr">
        <is>
          <t>Instrumento 1. Ficha de registro de tiempos</t>
        </is>
      </c>
      <c r="C14" s="7" t="inlineStr">
        <is>
          <t>Registro de pacientes</t>
        </is>
      </c>
      <c r="D14" s="7" t="inlineStr">
        <is>
          <t>TPR</t>
        </is>
      </c>
      <c r="E14" s="7" t="inlineStr">
        <is>
          <t>Fecha de sesión</t>
        </is>
      </c>
      <c r="F14" s="8" t="n"/>
      <c r="G14" s="8" t="n"/>
      <c r="H14" s="8" t="n"/>
      <c r="I14" s="8" t="n"/>
      <c r="J14" s="9" t="n"/>
    </row>
    <row r="15">
      <c r="A15" s="7" t="n">
        <v>2</v>
      </c>
      <c r="B15" s="7" t="inlineStr">
        <is>
          <t>Instrumento 1. Ficha de registro de tiempos</t>
        </is>
      </c>
      <c r="C15" s="7" t="inlineStr">
        <is>
          <t>Registro de pacientes</t>
        </is>
      </c>
      <c r="D15" s="7" t="inlineStr">
        <is>
          <t>TPR</t>
        </is>
      </c>
      <c r="E15" s="7" t="inlineStr">
        <is>
          <t>Código del paciente</t>
        </is>
      </c>
      <c r="F15" s="8" t="n"/>
      <c r="G15" s="8" t="n"/>
      <c r="H15" s="8" t="n"/>
      <c r="I15" s="8" t="n"/>
      <c r="J15" s="9" t="n"/>
    </row>
    <row r="16">
      <c r="A16" s="7" t="n">
        <v>3</v>
      </c>
      <c r="B16" s="7" t="inlineStr">
        <is>
          <t>Instrumento 1. Ficha de registro de tiempos</t>
        </is>
      </c>
      <c r="C16" s="7" t="inlineStr">
        <is>
          <t>Registro de pacientes</t>
        </is>
      </c>
      <c r="D16" s="7" t="inlineStr">
        <is>
          <t>TPR</t>
        </is>
      </c>
      <c r="E16" s="7" t="inlineStr">
        <is>
          <t>Hora de inicio del registro</t>
        </is>
      </c>
      <c r="F16" s="8" t="n"/>
      <c r="G16" s="8" t="n"/>
      <c r="H16" s="8" t="n"/>
      <c r="I16" s="8" t="n"/>
      <c r="J16" s="9" t="n"/>
    </row>
    <row r="17">
      <c r="A17" s="7" t="n">
        <v>4</v>
      </c>
      <c r="B17" s="7" t="inlineStr">
        <is>
          <t>Instrumento 1. Ficha de registro de tiempos</t>
        </is>
      </c>
      <c r="C17" s="7" t="inlineStr">
        <is>
          <t>Registro de pacientes</t>
        </is>
      </c>
      <c r="D17" s="7" t="inlineStr">
        <is>
          <t>TPR</t>
        </is>
      </c>
      <c r="E17" s="7" t="inlineStr">
        <is>
          <t>Hora de fin del registro</t>
        </is>
      </c>
      <c r="F17" s="8" t="n"/>
      <c r="G17" s="8" t="n"/>
      <c r="H17" s="8" t="n"/>
      <c r="I17" s="8" t="n"/>
      <c r="J17" s="9" t="n"/>
    </row>
    <row r="18">
      <c r="A18" s="7" t="n">
        <v>5</v>
      </c>
      <c r="B18" s="7" t="inlineStr">
        <is>
          <t>Instrumento 1. Ficha de registro de tiempos</t>
        </is>
      </c>
      <c r="C18" s="7" t="inlineStr">
        <is>
          <t>Registro de pacientes</t>
        </is>
      </c>
      <c r="D18" s="7" t="inlineStr">
        <is>
          <t>TPR</t>
        </is>
      </c>
      <c r="E18" s="7" t="inlineStr">
        <is>
          <t>Tiempo del registro (min, calculado)</t>
        </is>
      </c>
      <c r="F18" s="8" t="n"/>
      <c r="G18" s="8" t="n"/>
      <c r="H18" s="8" t="n"/>
      <c r="I18" s="8" t="n"/>
      <c r="J18" s="9" t="n"/>
    </row>
    <row r="19">
      <c r="A19" s="7" t="n">
        <v>6</v>
      </c>
      <c r="B19" s="7" t="inlineStr">
        <is>
          <t>Instrumento 1. Ficha de registro de tiempos</t>
        </is>
      </c>
      <c r="C19" s="7" t="inlineStr">
        <is>
          <t>Registro de pacientes</t>
        </is>
      </c>
      <c r="D19" s="7" t="inlineStr">
        <is>
          <t>TPR</t>
        </is>
      </c>
      <c r="E19" s="7" t="inlineStr">
        <is>
          <t>Modalidad (manual / sistema)</t>
        </is>
      </c>
      <c r="F19" s="8" t="n"/>
      <c r="G19" s="8" t="n"/>
      <c r="H19" s="8" t="n"/>
      <c r="I19" s="8" t="n"/>
      <c r="J19" s="9" t="n"/>
    </row>
    <row r="20">
      <c r="A20" s="7" t="n">
        <v>7</v>
      </c>
      <c r="B20" s="7" t="inlineStr">
        <is>
          <t>Instrumento 2A. Ficha de gestión: citas</t>
        </is>
      </c>
      <c r="C20" s="7" t="inlineStr">
        <is>
          <t>Agendamiento de citas médicas</t>
        </is>
      </c>
      <c r="D20" s="7" t="inlineStr">
        <is>
          <t>TA</t>
        </is>
      </c>
      <c r="E20" s="7" t="inlineStr">
        <is>
          <t>Fecha de sesión</t>
        </is>
      </c>
      <c r="F20" s="8" t="n"/>
      <c r="G20" s="8" t="n"/>
      <c r="H20" s="8" t="n"/>
      <c r="I20" s="8" t="n"/>
      <c r="J20" s="9" t="n"/>
    </row>
    <row r="21">
      <c r="A21" s="7" t="n">
        <v>8</v>
      </c>
      <c r="B21" s="7" t="inlineStr">
        <is>
          <t>Instrumento 2A. Ficha de gestión: citas</t>
        </is>
      </c>
      <c r="C21" s="7" t="inlineStr">
        <is>
          <t>Agendamiento de citas médicas</t>
        </is>
      </c>
      <c r="D21" s="7" t="inlineStr">
        <is>
          <t>TA</t>
        </is>
      </c>
      <c r="E21" s="7" t="inlineStr">
        <is>
          <t>Código del paciente</t>
        </is>
      </c>
      <c r="F21" s="8" t="n"/>
      <c r="G21" s="8" t="n"/>
      <c r="H21" s="8" t="n"/>
      <c r="I21" s="8" t="n"/>
      <c r="J21" s="9" t="n"/>
    </row>
    <row r="22">
      <c r="A22" s="7" t="n">
        <v>9</v>
      </c>
      <c r="B22" s="7" t="inlineStr">
        <is>
          <t>Instrumento 2A. Ficha de gestión: citas</t>
        </is>
      </c>
      <c r="C22" s="7" t="inlineStr">
        <is>
          <t>Agendamiento de citas médicas</t>
        </is>
      </c>
      <c r="D22" s="7" t="inlineStr">
        <is>
          <t>TA</t>
        </is>
      </c>
      <c r="E22" s="7" t="inlineStr">
        <is>
          <t>Estado de la cita (asistió / no asistió / cancelada / reprogramada)</t>
        </is>
      </c>
      <c r="F22" s="8" t="n"/>
      <c r="G22" s="8" t="n"/>
      <c r="H22" s="8" t="n"/>
      <c r="I22" s="8" t="n"/>
      <c r="J22" s="9" t="n"/>
    </row>
    <row r="23">
      <c r="A23" s="7" t="n">
        <v>10</v>
      </c>
      <c r="B23" s="7" t="inlineStr">
        <is>
          <t>Instrumento 2A. Ficha de gestión: citas</t>
        </is>
      </c>
      <c r="C23" s="7" t="inlineStr">
        <is>
          <t>Agendamiento de citas médicas</t>
        </is>
      </c>
      <c r="D23" s="7" t="inlineStr">
        <is>
          <t>TA</t>
        </is>
      </c>
      <c r="E23" s="7" t="inlineStr">
        <is>
          <t>Recordatorio enviado</t>
        </is>
      </c>
      <c r="F23" s="8" t="n"/>
      <c r="G23" s="8" t="n"/>
      <c r="H23" s="8" t="n"/>
      <c r="I23" s="8" t="n"/>
      <c r="J23" s="9" t="n"/>
    </row>
    <row r="24">
      <c r="A24" s="7" t="n">
        <v>11</v>
      </c>
      <c r="B24" s="7" t="inlineStr">
        <is>
          <t>Instrumento 2B. Ficha de gestión: consultas</t>
        </is>
      </c>
      <c r="C24" s="7" t="inlineStr">
        <is>
          <t>Eficacia de la atención</t>
        </is>
      </c>
      <c r="D24" s="7" t="inlineStr">
        <is>
          <t>NCA</t>
        </is>
      </c>
      <c r="E24" s="7" t="inlineStr">
        <is>
          <t>Fecha de sesión</t>
        </is>
      </c>
      <c r="F24" s="8" t="n"/>
      <c r="G24" s="8" t="n"/>
      <c r="H24" s="8" t="n"/>
      <c r="I24" s="8" t="n"/>
      <c r="J24" s="9" t="n"/>
    </row>
    <row r="25">
      <c r="A25" s="7" t="n">
        <v>12</v>
      </c>
      <c r="B25" s="7" t="inlineStr">
        <is>
          <t>Instrumento 2B. Ficha de gestión: consultas</t>
        </is>
      </c>
      <c r="C25" s="7" t="inlineStr">
        <is>
          <t>Eficacia de la atención</t>
        </is>
      </c>
      <c r="D25" s="7" t="inlineStr">
        <is>
          <t>NCA</t>
        </is>
      </c>
      <c r="E25" s="7" t="inlineStr">
        <is>
          <t>Código del paciente</t>
        </is>
      </c>
      <c r="F25" s="8" t="n"/>
      <c r="G25" s="8" t="n"/>
      <c r="H25" s="8" t="n"/>
      <c r="I25" s="8" t="n"/>
      <c r="J25" s="9" t="n"/>
    </row>
    <row r="26">
      <c r="A26" s="7" t="n">
        <v>13</v>
      </c>
      <c r="B26" s="7" t="inlineStr">
        <is>
          <t>Instrumento 2B. Ficha de gestión: consultas</t>
        </is>
      </c>
      <c r="C26" s="7" t="inlineStr">
        <is>
          <t>Eficacia de la atención</t>
        </is>
      </c>
      <c r="D26" s="7" t="inlineStr">
        <is>
          <t>NCA</t>
        </is>
      </c>
      <c r="E26" s="7" t="inlineStr">
        <is>
          <t>Categoría de la consulta</t>
        </is>
      </c>
      <c r="F26" s="8" t="n"/>
      <c r="G26" s="8" t="n"/>
      <c r="H26" s="8" t="n"/>
      <c r="I26" s="8" t="n"/>
      <c r="J26" s="9" t="n"/>
    </row>
    <row r="27">
      <c r="A27" s="7" t="n">
        <v>14</v>
      </c>
      <c r="B27" s="7" t="inlineStr">
        <is>
          <t>Instrumento 2B. Ficha de gestión: consultas</t>
        </is>
      </c>
      <c r="C27" s="7" t="inlineStr">
        <is>
          <t>Eficacia de la atención</t>
        </is>
      </c>
      <c r="D27" s="7" t="inlineStr">
        <is>
          <t>NCA</t>
        </is>
      </c>
      <c r="E27" s="7" t="inlineStr">
        <is>
          <t>Canal de atención</t>
        </is>
      </c>
      <c r="F27" s="8" t="n"/>
      <c r="G27" s="8" t="n"/>
      <c r="H27" s="8" t="n"/>
      <c r="I27" s="8" t="n"/>
      <c r="J27" s="9" t="n"/>
    </row>
    <row r="28">
      <c r="A28" s="7" t="n">
        <v>15</v>
      </c>
      <c r="B28" s="7" t="inlineStr">
        <is>
          <t>Instrumento 2B. Ficha de gestión: consultas</t>
        </is>
      </c>
      <c r="C28" s="7" t="inlineStr">
        <is>
          <t>Eficacia de la atención</t>
        </is>
      </c>
      <c r="D28" s="7" t="inlineStr">
        <is>
          <t>NCA</t>
        </is>
      </c>
      <c r="E28" s="7" t="inlineStr">
        <is>
          <t>Resuelta en el primer contacto</t>
        </is>
      </c>
      <c r="F28" s="8" t="n"/>
      <c r="G28" s="8" t="n"/>
      <c r="H28" s="8" t="n"/>
      <c r="I28" s="8" t="n"/>
      <c r="J28" s="9" t="n"/>
    </row>
    <row r="29">
      <c r="A29" s="7" t="n">
        <v>16</v>
      </c>
      <c r="B29" s="7" t="inlineStr">
        <is>
          <t>Instrumento 2B. Ficha de gestión: consultas</t>
        </is>
      </c>
      <c r="C29" s="7" t="inlineStr">
        <is>
          <t>Eficacia de la atención</t>
        </is>
      </c>
      <c r="D29" s="7" t="inlineStr">
        <is>
          <t>NCA</t>
        </is>
      </c>
      <c r="E29" s="7" t="inlineStr">
        <is>
          <t>Derivada a otra persona o área</t>
        </is>
      </c>
      <c r="F29" s="8" t="n"/>
      <c r="G29" s="8" t="n"/>
      <c r="H29" s="8" t="n"/>
      <c r="I29" s="8" t="n"/>
      <c r="J29" s="9" t="n"/>
    </row>
    <row r="30">
      <c r="A30" s="7" t="n">
        <v>17</v>
      </c>
      <c r="B30" s="7" t="inlineStr">
        <is>
          <t>Instrumento 2B. Ficha de gestión: consultas</t>
        </is>
      </c>
      <c r="C30" s="7" t="inlineStr">
        <is>
          <t>Eficacia de la atención</t>
        </is>
      </c>
      <c r="D30" s="7" t="inlineStr">
        <is>
          <t>NCA</t>
        </is>
      </c>
      <c r="E30" s="7" t="inlineStr">
        <is>
          <t>Tiempo de respuesta (min)</t>
        </is>
      </c>
      <c r="F30" s="8" t="n"/>
      <c r="G30" s="8" t="n"/>
      <c r="H30" s="8" t="n"/>
      <c r="I30" s="8" t="n"/>
      <c r="J30" s="9" t="n"/>
    </row>
    <row r="31">
      <c r="A31" s="7" t="n">
        <v>18</v>
      </c>
      <c r="B31" s="7" t="inlineStr">
        <is>
          <t>Instrumento 3. Ficha de verificación (VI)</t>
        </is>
      </c>
      <c r="C31" s="7" t="inlineStr">
        <is>
          <t>Módulo de registro</t>
        </is>
      </c>
      <c r="D31" s="7" t="inlineStr">
        <is>
          <t>Implementación</t>
        </is>
      </c>
      <c r="E31" s="7" t="inlineStr">
        <is>
          <t>Alta de paciente con validación de campos obligatorios</t>
        </is>
      </c>
      <c r="F31" s="8" t="n"/>
      <c r="G31" s="8" t="n"/>
      <c r="H31" s="8" t="n"/>
      <c r="I31" s="8" t="n"/>
      <c r="J31" s="9" t="n"/>
    </row>
    <row r="32">
      <c r="A32" s="7" t="n">
        <v>19</v>
      </c>
      <c r="B32" s="7" t="inlineStr">
        <is>
          <t>Instrumento 3. Ficha de verificación (VI)</t>
        </is>
      </c>
      <c r="C32" s="7" t="inlineStr">
        <is>
          <t>Módulo de registro</t>
        </is>
      </c>
      <c r="D32" s="7" t="inlineStr">
        <is>
          <t>Implementación</t>
        </is>
      </c>
      <c r="E32" s="7" t="inlineStr">
        <is>
          <t>Almacenamiento con marca de tiempo de inicio y fin</t>
        </is>
      </c>
      <c r="F32" s="8" t="n"/>
      <c r="G32" s="8" t="n"/>
      <c r="H32" s="8" t="n"/>
      <c r="I32" s="8" t="n"/>
      <c r="J32" s="9" t="n"/>
    </row>
    <row r="33">
      <c r="A33" s="7" t="n">
        <v>20</v>
      </c>
      <c r="B33" s="7" t="inlineStr">
        <is>
          <t>Instrumento 3. Ficha de verificación (VI)</t>
        </is>
      </c>
      <c r="C33" s="7" t="inlineStr">
        <is>
          <t>Módulo de agendamiento</t>
        </is>
      </c>
      <c r="D33" s="7" t="inlineStr">
        <is>
          <t>Implementación</t>
        </is>
      </c>
      <c r="E33" s="7" t="inlineStr">
        <is>
          <t>Creación de cita con fecha, hora y servicio</t>
        </is>
      </c>
      <c r="F33" s="8" t="n"/>
      <c r="G33" s="8" t="n"/>
      <c r="H33" s="8" t="n"/>
      <c r="I33" s="8" t="n"/>
      <c r="J33" s="9" t="n"/>
    </row>
    <row r="34">
      <c r="A34" s="7" t="n">
        <v>21</v>
      </c>
      <c r="B34" s="7" t="inlineStr">
        <is>
          <t>Instrumento 3. Ficha de verificación (VI)</t>
        </is>
      </c>
      <c r="C34" s="7" t="inlineStr">
        <is>
          <t>Módulo de agendamiento</t>
        </is>
      </c>
      <c r="D34" s="7" t="inlineStr">
        <is>
          <t>Implementación</t>
        </is>
      </c>
      <c r="E34" s="7" t="inlineStr">
        <is>
          <t>Envío automático del recordatorio</t>
        </is>
      </c>
      <c r="F34" s="8" t="n"/>
      <c r="G34" s="8" t="n"/>
      <c r="H34" s="8" t="n"/>
      <c r="I34" s="8" t="n"/>
      <c r="J34" s="9" t="n"/>
    </row>
    <row r="35">
      <c r="A35" s="7" t="n">
        <v>22</v>
      </c>
      <c r="B35" s="7" t="inlineStr">
        <is>
          <t>Instrumento 3. Ficha de verificación (VI)</t>
        </is>
      </c>
      <c r="C35" s="7" t="inlineStr">
        <is>
          <t>Módulo de agendamiento</t>
        </is>
      </c>
      <c r="D35" s="7" t="inlineStr">
        <is>
          <t>Implementación</t>
        </is>
      </c>
      <c r="E35" s="7" t="inlineStr">
        <is>
          <t>Registro de cancelación o reprogramación con aviso</t>
        </is>
      </c>
      <c r="F35" s="8" t="n"/>
      <c r="G35" s="8" t="n"/>
      <c r="H35" s="8" t="n"/>
      <c r="I35" s="8" t="n"/>
      <c r="J35" s="9" t="n"/>
    </row>
    <row r="36">
      <c r="A36" s="7" t="n">
        <v>23</v>
      </c>
      <c r="B36" s="7" t="inlineStr">
        <is>
          <t>Instrumento 3. Ficha de verificación (VI)</t>
        </is>
      </c>
      <c r="C36" s="7" t="inlineStr">
        <is>
          <t>Módulo de chatbot</t>
        </is>
      </c>
      <c r="D36" s="7" t="inlineStr">
        <is>
          <t>Implementación</t>
        </is>
      </c>
      <c r="E36" s="7" t="inlineStr">
        <is>
          <t>Respuesta a una consulta de cada categoría</t>
        </is>
      </c>
      <c r="F36" s="8" t="n"/>
      <c r="G36" s="8" t="n"/>
      <c r="H36" s="8" t="n"/>
      <c r="I36" s="8" t="n"/>
      <c r="J36" s="9" t="n"/>
    </row>
    <row r="37">
      <c r="A37" s="7" t="n">
        <v>24</v>
      </c>
      <c r="B37" s="7" t="inlineStr">
        <is>
          <t>Instrumento 3. Ficha de verificación (VI)</t>
        </is>
      </c>
      <c r="C37" s="7" t="inlineStr">
        <is>
          <t>Módulo de chatbot</t>
        </is>
      </c>
      <c r="D37" s="7" t="inlineStr">
        <is>
          <t>Implementación</t>
        </is>
      </c>
      <c r="E37" s="7" t="inlineStr">
        <is>
          <t>Derivación al personal cuando no puede resolver</t>
        </is>
      </c>
      <c r="F37" s="8" t="n"/>
      <c r="G37" s="8" t="n"/>
      <c r="H37" s="8" t="n"/>
      <c r="I37" s="8" t="n"/>
      <c r="J37" s="9" t="n"/>
    </row>
    <row r="38">
      <c r="A38" s="7" t="n">
        <v>25</v>
      </c>
      <c r="B38" s="7" t="inlineStr">
        <is>
          <t>Instrumento 3. Ficha de verificación (VI)</t>
        </is>
      </c>
      <c r="C38" s="7" t="inlineStr">
        <is>
          <t>Módulo de chatbot</t>
        </is>
      </c>
      <c r="D38" s="7" t="inlineStr">
        <is>
          <t>Implementación</t>
        </is>
      </c>
      <c r="E38" s="7" t="inlineStr">
        <is>
          <t>Registro de cada consulta con categoría, resolución y derivación</t>
        </is>
      </c>
      <c r="F38" s="8" t="n"/>
      <c r="G38" s="8" t="n"/>
      <c r="H38" s="8" t="n"/>
      <c r="I38" s="8" t="n"/>
      <c r="J38" s="9" t="n"/>
    </row>
  </sheetData>
  <dataValidations count="2">
    <dataValidation sqref="B11" showDropDown="0" showInputMessage="0" showErrorMessage="0" allowBlank="1" type="list">
      <formula1>"Aplicable,Aplicable después de corregir,No aplicable"</formula1>
    </dataValidation>
    <dataValidation sqref="F14:I14 F15:I15 F16:I16 F17:I17 F18:I18 F19:I19 F20:I20 F21:I21 F22:I22 F23:I23 F24:I24 F25:I25 F26:I26 F27:I27 F28:I28 F29:I29 F30:I30 F31:I31 F32:I32 F33:I33 F34:I34 F35:I35 F36:I36 F37:I37 F38:I38" showDropDown="0" showInputMessage="0" showErrorMessage="1" allowBlank="1" error="Ingrese 1 (de acuerdo) o 0 (en desacuerdo)" type="whole" operator="between">
      <formula1>0</formula1>
      <formula2>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5" ySplit="13" topLeftCell="F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4" customWidth="1" min="2" max="2"/>
    <col width="24" customWidth="1" min="3" max="3"/>
    <col width="13" customWidth="1" min="4" max="4"/>
    <col width="48" customWidth="1" min="5" max="5"/>
    <col width="11" customWidth="1" min="6" max="6"/>
    <col width="11" customWidth="1" min="7" max="7"/>
    <col width="11" customWidth="1" min="8" max="8"/>
    <col width="11" customWidth="1" min="9" max="9"/>
    <col width="40" customWidth="1" min="10" max="10"/>
  </cols>
  <sheetData>
    <row r="1">
      <c r="A1" s="3" t="inlineStr">
        <is>
          <t>JUEZ 3 — datos del experto</t>
        </is>
      </c>
    </row>
    <row r="2">
      <c r="A2" s="4" t="inlineStr">
        <is>
          <t>Nombres y apellidos</t>
        </is>
      </c>
      <c r="B2" s="5" t="n"/>
    </row>
    <row r="3">
      <c r="A3" s="4" t="inlineStr">
        <is>
          <t>Documento de identidad</t>
        </is>
      </c>
      <c r="B3" s="5" t="n"/>
    </row>
    <row r="4">
      <c r="A4" s="4" t="inlineStr">
        <is>
          <t>Máximo grado académico</t>
        </is>
      </c>
      <c r="B4" s="5" t="n"/>
    </row>
    <row r="5">
      <c r="A5" s="4" t="inlineStr">
        <is>
          <t>Especialidad</t>
        </is>
      </c>
      <c r="B5" s="5" t="n"/>
    </row>
    <row r="6">
      <c r="A6" s="4" t="inlineStr">
        <is>
          <t>Años de experiencia laboral</t>
        </is>
      </c>
      <c r="B6" s="5" t="n"/>
    </row>
    <row r="7">
      <c r="A7" s="4" t="inlineStr">
        <is>
          <t>Institución laboral</t>
        </is>
      </c>
      <c r="B7" s="5" t="n"/>
    </row>
    <row r="8">
      <c r="A8" s="4" t="inlineStr">
        <is>
          <t>Labor que desempeña</t>
        </is>
      </c>
      <c r="B8" s="5" t="n"/>
    </row>
    <row r="9">
      <c r="A9" s="4" t="inlineStr">
        <is>
          <t>Correo electrónico</t>
        </is>
      </c>
      <c r="B9" s="5" t="n"/>
    </row>
    <row r="10">
      <c r="A10" s="4" t="inlineStr">
        <is>
          <t>Fecha de validación (dd/mm/aaaa)</t>
        </is>
      </c>
      <c r="B10" s="5" t="n"/>
    </row>
    <row r="11">
      <c r="A11" s="4" t="inlineStr">
        <is>
          <t>Opinión de aplicabilidad</t>
        </is>
      </c>
      <c r="B11" s="5" t="n"/>
    </row>
    <row r="13" ht="30" customHeight="1">
      <c r="A13" s="6" t="inlineStr">
        <is>
          <t>N.°</t>
        </is>
      </c>
      <c r="B13" s="6" t="inlineStr">
        <is>
          <t>Instrumento</t>
        </is>
      </c>
      <c r="C13" s="6" t="inlineStr">
        <is>
          <t>Dimensión</t>
        </is>
      </c>
      <c r="D13" s="6" t="inlineStr">
        <is>
          <t>Indicador</t>
        </is>
      </c>
      <c r="E13" s="6" t="inlineStr">
        <is>
          <t>Ítem (campo o funcionalidad)</t>
        </is>
      </c>
      <c r="F13" s="6" t="inlineStr">
        <is>
          <t>Suficiencia</t>
        </is>
      </c>
      <c r="G13" s="6" t="inlineStr">
        <is>
          <t>Claridad</t>
        </is>
      </c>
      <c r="H13" s="6" t="inlineStr">
        <is>
          <t>Coherencia</t>
        </is>
      </c>
      <c r="I13" s="6" t="inlineStr">
        <is>
          <t>Relevancia</t>
        </is>
      </c>
      <c r="J13" s="6" t="inlineStr">
        <is>
          <t>Observación</t>
        </is>
      </c>
    </row>
    <row r="14">
      <c r="A14" s="7" t="n">
        <v>1</v>
      </c>
      <c r="B14" s="7" t="inlineStr">
        <is>
          <t>Instrumento 1. Ficha de registro de tiempos</t>
        </is>
      </c>
      <c r="C14" s="7" t="inlineStr">
        <is>
          <t>Registro de pacientes</t>
        </is>
      </c>
      <c r="D14" s="7" t="inlineStr">
        <is>
          <t>TPR</t>
        </is>
      </c>
      <c r="E14" s="7" t="inlineStr">
        <is>
          <t>Fecha de sesión</t>
        </is>
      </c>
      <c r="F14" s="8" t="n"/>
      <c r="G14" s="8" t="n"/>
      <c r="H14" s="8" t="n"/>
      <c r="I14" s="8" t="n"/>
      <c r="J14" s="9" t="n"/>
    </row>
    <row r="15">
      <c r="A15" s="7" t="n">
        <v>2</v>
      </c>
      <c r="B15" s="7" t="inlineStr">
        <is>
          <t>Instrumento 1. Ficha de registro de tiempos</t>
        </is>
      </c>
      <c r="C15" s="7" t="inlineStr">
        <is>
          <t>Registro de pacientes</t>
        </is>
      </c>
      <c r="D15" s="7" t="inlineStr">
        <is>
          <t>TPR</t>
        </is>
      </c>
      <c r="E15" s="7" t="inlineStr">
        <is>
          <t>Código del paciente</t>
        </is>
      </c>
      <c r="F15" s="8" t="n"/>
      <c r="G15" s="8" t="n"/>
      <c r="H15" s="8" t="n"/>
      <c r="I15" s="8" t="n"/>
      <c r="J15" s="9" t="n"/>
    </row>
    <row r="16">
      <c r="A16" s="7" t="n">
        <v>3</v>
      </c>
      <c r="B16" s="7" t="inlineStr">
        <is>
          <t>Instrumento 1. Ficha de registro de tiempos</t>
        </is>
      </c>
      <c r="C16" s="7" t="inlineStr">
        <is>
          <t>Registro de pacientes</t>
        </is>
      </c>
      <c r="D16" s="7" t="inlineStr">
        <is>
          <t>TPR</t>
        </is>
      </c>
      <c r="E16" s="7" t="inlineStr">
        <is>
          <t>Hora de inicio del registro</t>
        </is>
      </c>
      <c r="F16" s="8" t="n"/>
      <c r="G16" s="8" t="n"/>
      <c r="H16" s="8" t="n"/>
      <c r="I16" s="8" t="n"/>
      <c r="J16" s="9" t="n"/>
    </row>
    <row r="17">
      <c r="A17" s="7" t="n">
        <v>4</v>
      </c>
      <c r="B17" s="7" t="inlineStr">
        <is>
          <t>Instrumento 1. Ficha de registro de tiempos</t>
        </is>
      </c>
      <c r="C17" s="7" t="inlineStr">
        <is>
          <t>Registro de pacientes</t>
        </is>
      </c>
      <c r="D17" s="7" t="inlineStr">
        <is>
          <t>TPR</t>
        </is>
      </c>
      <c r="E17" s="7" t="inlineStr">
        <is>
          <t>Hora de fin del registro</t>
        </is>
      </c>
      <c r="F17" s="8" t="n"/>
      <c r="G17" s="8" t="n"/>
      <c r="H17" s="8" t="n"/>
      <c r="I17" s="8" t="n"/>
      <c r="J17" s="9" t="n"/>
    </row>
    <row r="18">
      <c r="A18" s="7" t="n">
        <v>5</v>
      </c>
      <c r="B18" s="7" t="inlineStr">
        <is>
          <t>Instrumento 1. Ficha de registro de tiempos</t>
        </is>
      </c>
      <c r="C18" s="7" t="inlineStr">
        <is>
          <t>Registro de pacientes</t>
        </is>
      </c>
      <c r="D18" s="7" t="inlineStr">
        <is>
          <t>TPR</t>
        </is>
      </c>
      <c r="E18" s="7" t="inlineStr">
        <is>
          <t>Tiempo del registro (min, calculado)</t>
        </is>
      </c>
      <c r="F18" s="8" t="n"/>
      <c r="G18" s="8" t="n"/>
      <c r="H18" s="8" t="n"/>
      <c r="I18" s="8" t="n"/>
      <c r="J18" s="9" t="n"/>
    </row>
    <row r="19">
      <c r="A19" s="7" t="n">
        <v>6</v>
      </c>
      <c r="B19" s="7" t="inlineStr">
        <is>
          <t>Instrumento 1. Ficha de registro de tiempos</t>
        </is>
      </c>
      <c r="C19" s="7" t="inlineStr">
        <is>
          <t>Registro de pacientes</t>
        </is>
      </c>
      <c r="D19" s="7" t="inlineStr">
        <is>
          <t>TPR</t>
        </is>
      </c>
      <c r="E19" s="7" t="inlineStr">
        <is>
          <t>Modalidad (manual / sistema)</t>
        </is>
      </c>
      <c r="F19" s="8" t="n"/>
      <c r="G19" s="8" t="n"/>
      <c r="H19" s="8" t="n"/>
      <c r="I19" s="8" t="n"/>
      <c r="J19" s="9" t="n"/>
    </row>
    <row r="20">
      <c r="A20" s="7" t="n">
        <v>7</v>
      </c>
      <c r="B20" s="7" t="inlineStr">
        <is>
          <t>Instrumento 2A. Ficha de gestión: citas</t>
        </is>
      </c>
      <c r="C20" s="7" t="inlineStr">
        <is>
          <t>Agendamiento de citas médicas</t>
        </is>
      </c>
      <c r="D20" s="7" t="inlineStr">
        <is>
          <t>TA</t>
        </is>
      </c>
      <c r="E20" s="7" t="inlineStr">
        <is>
          <t>Fecha de sesión</t>
        </is>
      </c>
      <c r="F20" s="8" t="n"/>
      <c r="G20" s="8" t="n"/>
      <c r="H20" s="8" t="n"/>
      <c r="I20" s="8" t="n"/>
      <c r="J20" s="9" t="n"/>
    </row>
    <row r="21">
      <c r="A21" s="7" t="n">
        <v>8</v>
      </c>
      <c r="B21" s="7" t="inlineStr">
        <is>
          <t>Instrumento 2A. Ficha de gestión: citas</t>
        </is>
      </c>
      <c r="C21" s="7" t="inlineStr">
        <is>
          <t>Agendamiento de citas médicas</t>
        </is>
      </c>
      <c r="D21" s="7" t="inlineStr">
        <is>
          <t>TA</t>
        </is>
      </c>
      <c r="E21" s="7" t="inlineStr">
        <is>
          <t>Código del paciente</t>
        </is>
      </c>
      <c r="F21" s="8" t="n"/>
      <c r="G21" s="8" t="n"/>
      <c r="H21" s="8" t="n"/>
      <c r="I21" s="8" t="n"/>
      <c r="J21" s="9" t="n"/>
    </row>
    <row r="22">
      <c r="A22" s="7" t="n">
        <v>9</v>
      </c>
      <c r="B22" s="7" t="inlineStr">
        <is>
          <t>Instrumento 2A. Ficha de gestión: citas</t>
        </is>
      </c>
      <c r="C22" s="7" t="inlineStr">
        <is>
          <t>Agendamiento de citas médicas</t>
        </is>
      </c>
      <c r="D22" s="7" t="inlineStr">
        <is>
          <t>TA</t>
        </is>
      </c>
      <c r="E22" s="7" t="inlineStr">
        <is>
          <t>Estado de la cita (asistió / no asistió / cancelada / reprogramada)</t>
        </is>
      </c>
      <c r="F22" s="8" t="n"/>
      <c r="G22" s="8" t="n"/>
      <c r="H22" s="8" t="n"/>
      <c r="I22" s="8" t="n"/>
      <c r="J22" s="9" t="n"/>
    </row>
    <row r="23">
      <c r="A23" s="7" t="n">
        <v>10</v>
      </c>
      <c r="B23" s="7" t="inlineStr">
        <is>
          <t>Instrumento 2A. Ficha de gestión: citas</t>
        </is>
      </c>
      <c r="C23" s="7" t="inlineStr">
        <is>
          <t>Agendamiento de citas médicas</t>
        </is>
      </c>
      <c r="D23" s="7" t="inlineStr">
        <is>
          <t>TA</t>
        </is>
      </c>
      <c r="E23" s="7" t="inlineStr">
        <is>
          <t>Recordatorio enviado</t>
        </is>
      </c>
      <c r="F23" s="8" t="n"/>
      <c r="G23" s="8" t="n"/>
      <c r="H23" s="8" t="n"/>
      <c r="I23" s="8" t="n"/>
      <c r="J23" s="9" t="n"/>
    </row>
    <row r="24">
      <c r="A24" s="7" t="n">
        <v>11</v>
      </c>
      <c r="B24" s="7" t="inlineStr">
        <is>
          <t>Instrumento 2B. Ficha de gestión: consultas</t>
        </is>
      </c>
      <c r="C24" s="7" t="inlineStr">
        <is>
          <t>Eficacia de la atención</t>
        </is>
      </c>
      <c r="D24" s="7" t="inlineStr">
        <is>
          <t>NCA</t>
        </is>
      </c>
      <c r="E24" s="7" t="inlineStr">
        <is>
          <t>Fecha de sesión</t>
        </is>
      </c>
      <c r="F24" s="8" t="n"/>
      <c r="G24" s="8" t="n"/>
      <c r="H24" s="8" t="n"/>
      <c r="I24" s="8" t="n"/>
      <c r="J24" s="9" t="n"/>
    </row>
    <row r="25">
      <c r="A25" s="7" t="n">
        <v>12</v>
      </c>
      <c r="B25" s="7" t="inlineStr">
        <is>
          <t>Instrumento 2B. Ficha de gestión: consultas</t>
        </is>
      </c>
      <c r="C25" s="7" t="inlineStr">
        <is>
          <t>Eficacia de la atención</t>
        </is>
      </c>
      <c r="D25" s="7" t="inlineStr">
        <is>
          <t>NCA</t>
        </is>
      </c>
      <c r="E25" s="7" t="inlineStr">
        <is>
          <t>Código del paciente</t>
        </is>
      </c>
      <c r="F25" s="8" t="n"/>
      <c r="G25" s="8" t="n"/>
      <c r="H25" s="8" t="n"/>
      <c r="I25" s="8" t="n"/>
      <c r="J25" s="9" t="n"/>
    </row>
    <row r="26">
      <c r="A26" s="7" t="n">
        <v>13</v>
      </c>
      <c r="B26" s="7" t="inlineStr">
        <is>
          <t>Instrumento 2B. Ficha de gestión: consultas</t>
        </is>
      </c>
      <c r="C26" s="7" t="inlineStr">
        <is>
          <t>Eficacia de la atención</t>
        </is>
      </c>
      <c r="D26" s="7" t="inlineStr">
        <is>
          <t>NCA</t>
        </is>
      </c>
      <c r="E26" s="7" t="inlineStr">
        <is>
          <t>Categoría de la consulta</t>
        </is>
      </c>
      <c r="F26" s="8" t="n"/>
      <c r="G26" s="8" t="n"/>
      <c r="H26" s="8" t="n"/>
      <c r="I26" s="8" t="n"/>
      <c r="J26" s="9" t="n"/>
    </row>
    <row r="27">
      <c r="A27" s="7" t="n">
        <v>14</v>
      </c>
      <c r="B27" s="7" t="inlineStr">
        <is>
          <t>Instrumento 2B. Ficha de gestión: consultas</t>
        </is>
      </c>
      <c r="C27" s="7" t="inlineStr">
        <is>
          <t>Eficacia de la atención</t>
        </is>
      </c>
      <c r="D27" s="7" t="inlineStr">
        <is>
          <t>NCA</t>
        </is>
      </c>
      <c r="E27" s="7" t="inlineStr">
        <is>
          <t>Canal de atención</t>
        </is>
      </c>
      <c r="F27" s="8" t="n"/>
      <c r="G27" s="8" t="n"/>
      <c r="H27" s="8" t="n"/>
      <c r="I27" s="8" t="n"/>
      <c r="J27" s="9" t="n"/>
    </row>
    <row r="28">
      <c r="A28" s="7" t="n">
        <v>15</v>
      </c>
      <c r="B28" s="7" t="inlineStr">
        <is>
          <t>Instrumento 2B. Ficha de gestión: consultas</t>
        </is>
      </c>
      <c r="C28" s="7" t="inlineStr">
        <is>
          <t>Eficacia de la atención</t>
        </is>
      </c>
      <c r="D28" s="7" t="inlineStr">
        <is>
          <t>NCA</t>
        </is>
      </c>
      <c r="E28" s="7" t="inlineStr">
        <is>
          <t>Resuelta en el primer contacto</t>
        </is>
      </c>
      <c r="F28" s="8" t="n"/>
      <c r="G28" s="8" t="n"/>
      <c r="H28" s="8" t="n"/>
      <c r="I28" s="8" t="n"/>
      <c r="J28" s="9" t="n"/>
    </row>
    <row r="29">
      <c r="A29" s="7" t="n">
        <v>16</v>
      </c>
      <c r="B29" s="7" t="inlineStr">
        <is>
          <t>Instrumento 2B. Ficha de gestión: consultas</t>
        </is>
      </c>
      <c r="C29" s="7" t="inlineStr">
        <is>
          <t>Eficacia de la atención</t>
        </is>
      </c>
      <c r="D29" s="7" t="inlineStr">
        <is>
          <t>NCA</t>
        </is>
      </c>
      <c r="E29" s="7" t="inlineStr">
        <is>
          <t>Derivada a otra persona o área</t>
        </is>
      </c>
      <c r="F29" s="8" t="n"/>
      <c r="G29" s="8" t="n"/>
      <c r="H29" s="8" t="n"/>
      <c r="I29" s="8" t="n"/>
      <c r="J29" s="9" t="n"/>
    </row>
    <row r="30">
      <c r="A30" s="7" t="n">
        <v>17</v>
      </c>
      <c r="B30" s="7" t="inlineStr">
        <is>
          <t>Instrumento 2B. Ficha de gestión: consultas</t>
        </is>
      </c>
      <c r="C30" s="7" t="inlineStr">
        <is>
          <t>Eficacia de la atención</t>
        </is>
      </c>
      <c r="D30" s="7" t="inlineStr">
        <is>
          <t>NCA</t>
        </is>
      </c>
      <c r="E30" s="7" t="inlineStr">
        <is>
          <t>Tiempo de respuesta (min)</t>
        </is>
      </c>
      <c r="F30" s="8" t="n"/>
      <c r="G30" s="8" t="n"/>
      <c r="H30" s="8" t="n"/>
      <c r="I30" s="8" t="n"/>
      <c r="J30" s="9" t="n"/>
    </row>
    <row r="31">
      <c r="A31" s="7" t="n">
        <v>18</v>
      </c>
      <c r="B31" s="7" t="inlineStr">
        <is>
          <t>Instrumento 3. Ficha de verificación (VI)</t>
        </is>
      </c>
      <c r="C31" s="7" t="inlineStr">
        <is>
          <t>Módulo de registro</t>
        </is>
      </c>
      <c r="D31" s="7" t="inlineStr">
        <is>
          <t>Implementación</t>
        </is>
      </c>
      <c r="E31" s="7" t="inlineStr">
        <is>
          <t>Alta de paciente con validación de campos obligatorios</t>
        </is>
      </c>
      <c r="F31" s="8" t="n"/>
      <c r="G31" s="8" t="n"/>
      <c r="H31" s="8" t="n"/>
      <c r="I31" s="8" t="n"/>
      <c r="J31" s="9" t="n"/>
    </row>
    <row r="32">
      <c r="A32" s="7" t="n">
        <v>19</v>
      </c>
      <c r="B32" s="7" t="inlineStr">
        <is>
          <t>Instrumento 3. Ficha de verificación (VI)</t>
        </is>
      </c>
      <c r="C32" s="7" t="inlineStr">
        <is>
          <t>Módulo de registro</t>
        </is>
      </c>
      <c r="D32" s="7" t="inlineStr">
        <is>
          <t>Implementación</t>
        </is>
      </c>
      <c r="E32" s="7" t="inlineStr">
        <is>
          <t>Almacenamiento con marca de tiempo de inicio y fin</t>
        </is>
      </c>
      <c r="F32" s="8" t="n"/>
      <c r="G32" s="8" t="n"/>
      <c r="H32" s="8" t="n"/>
      <c r="I32" s="8" t="n"/>
      <c r="J32" s="9" t="n"/>
    </row>
    <row r="33">
      <c r="A33" s="7" t="n">
        <v>20</v>
      </c>
      <c r="B33" s="7" t="inlineStr">
        <is>
          <t>Instrumento 3. Ficha de verificación (VI)</t>
        </is>
      </c>
      <c r="C33" s="7" t="inlineStr">
        <is>
          <t>Módulo de agendamiento</t>
        </is>
      </c>
      <c r="D33" s="7" t="inlineStr">
        <is>
          <t>Implementación</t>
        </is>
      </c>
      <c r="E33" s="7" t="inlineStr">
        <is>
          <t>Creación de cita con fecha, hora y servicio</t>
        </is>
      </c>
      <c r="F33" s="8" t="n"/>
      <c r="G33" s="8" t="n"/>
      <c r="H33" s="8" t="n"/>
      <c r="I33" s="8" t="n"/>
      <c r="J33" s="9" t="n"/>
    </row>
    <row r="34">
      <c r="A34" s="7" t="n">
        <v>21</v>
      </c>
      <c r="B34" s="7" t="inlineStr">
        <is>
          <t>Instrumento 3. Ficha de verificación (VI)</t>
        </is>
      </c>
      <c r="C34" s="7" t="inlineStr">
        <is>
          <t>Módulo de agendamiento</t>
        </is>
      </c>
      <c r="D34" s="7" t="inlineStr">
        <is>
          <t>Implementación</t>
        </is>
      </c>
      <c r="E34" s="7" t="inlineStr">
        <is>
          <t>Envío automático del recordatorio</t>
        </is>
      </c>
      <c r="F34" s="8" t="n"/>
      <c r="G34" s="8" t="n"/>
      <c r="H34" s="8" t="n"/>
      <c r="I34" s="8" t="n"/>
      <c r="J34" s="9" t="n"/>
    </row>
    <row r="35">
      <c r="A35" s="7" t="n">
        <v>22</v>
      </c>
      <c r="B35" s="7" t="inlineStr">
        <is>
          <t>Instrumento 3. Ficha de verificación (VI)</t>
        </is>
      </c>
      <c r="C35" s="7" t="inlineStr">
        <is>
          <t>Módulo de agendamiento</t>
        </is>
      </c>
      <c r="D35" s="7" t="inlineStr">
        <is>
          <t>Implementación</t>
        </is>
      </c>
      <c r="E35" s="7" t="inlineStr">
        <is>
          <t>Registro de cancelación o reprogramación con aviso</t>
        </is>
      </c>
      <c r="F35" s="8" t="n"/>
      <c r="G35" s="8" t="n"/>
      <c r="H35" s="8" t="n"/>
      <c r="I35" s="8" t="n"/>
      <c r="J35" s="9" t="n"/>
    </row>
    <row r="36">
      <c r="A36" s="7" t="n">
        <v>23</v>
      </c>
      <c r="B36" s="7" t="inlineStr">
        <is>
          <t>Instrumento 3. Ficha de verificación (VI)</t>
        </is>
      </c>
      <c r="C36" s="7" t="inlineStr">
        <is>
          <t>Módulo de chatbot</t>
        </is>
      </c>
      <c r="D36" s="7" t="inlineStr">
        <is>
          <t>Implementación</t>
        </is>
      </c>
      <c r="E36" s="7" t="inlineStr">
        <is>
          <t>Respuesta a una consulta de cada categoría</t>
        </is>
      </c>
      <c r="F36" s="8" t="n"/>
      <c r="G36" s="8" t="n"/>
      <c r="H36" s="8" t="n"/>
      <c r="I36" s="8" t="n"/>
      <c r="J36" s="9" t="n"/>
    </row>
    <row r="37">
      <c r="A37" s="7" t="n">
        <v>24</v>
      </c>
      <c r="B37" s="7" t="inlineStr">
        <is>
          <t>Instrumento 3. Ficha de verificación (VI)</t>
        </is>
      </c>
      <c r="C37" s="7" t="inlineStr">
        <is>
          <t>Módulo de chatbot</t>
        </is>
      </c>
      <c r="D37" s="7" t="inlineStr">
        <is>
          <t>Implementación</t>
        </is>
      </c>
      <c r="E37" s="7" t="inlineStr">
        <is>
          <t>Derivación al personal cuando no puede resolver</t>
        </is>
      </c>
      <c r="F37" s="8" t="n"/>
      <c r="G37" s="8" t="n"/>
      <c r="H37" s="8" t="n"/>
      <c r="I37" s="8" t="n"/>
      <c r="J37" s="9" t="n"/>
    </row>
    <row r="38">
      <c r="A38" s="7" t="n">
        <v>25</v>
      </c>
      <c r="B38" s="7" t="inlineStr">
        <is>
          <t>Instrumento 3. Ficha de verificación (VI)</t>
        </is>
      </c>
      <c r="C38" s="7" t="inlineStr">
        <is>
          <t>Módulo de chatbot</t>
        </is>
      </c>
      <c r="D38" s="7" t="inlineStr">
        <is>
          <t>Implementación</t>
        </is>
      </c>
      <c r="E38" s="7" t="inlineStr">
        <is>
          <t>Registro de cada consulta con categoría, resolución y derivación</t>
        </is>
      </c>
      <c r="F38" s="8" t="n"/>
      <c r="G38" s="8" t="n"/>
      <c r="H38" s="8" t="n"/>
      <c r="I38" s="8" t="n"/>
      <c r="J38" s="9" t="n"/>
    </row>
  </sheetData>
  <dataValidations count="2">
    <dataValidation sqref="B11" showDropDown="0" showInputMessage="0" showErrorMessage="0" allowBlank="1" type="list">
      <formula1>"Aplicable,Aplicable después de corregir,No aplicable"</formula1>
    </dataValidation>
    <dataValidation sqref="F14:I14 F15:I15 F16:I16 F17:I17 F18:I18 F19:I19 F20:I20 F21:I21 F22:I22 F23:I23 F24:I24 F25:I25 F26:I26 F27:I27 F28:I28 F29:I29 F30:I30 F31:I31 F32:I32 F33:I33 F34:I34 F35:I35 F36:I36 F37:I37 F38:I38" showDropDown="0" showInputMessage="0" showErrorMessage="1" allowBlank="1" error="Ingrese 1 (de acuerdo) o 0 (en desacuerdo)" type="whole" operator="between">
      <formula1>0</formula1>
      <formula2>1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48" customWidth="1" min="3" max="3"/>
    <col width="12" customWidth="1" min="4" max="4"/>
    <col width="12" customWidth="1" min="5" max="5"/>
    <col width="12" customWidth="1" min="6" max="6"/>
    <col width="12" customWidth="1" min="7" max="7"/>
    <col width="11" customWidth="1" min="8" max="8"/>
    <col width="10" customWidth="1" min="9" max="9"/>
    <col width="14" customWidth="1" min="10" max="10"/>
  </cols>
  <sheetData>
    <row r="1" ht="30" customHeight="1">
      <c r="A1" s="6" t="inlineStr">
        <is>
          <t>N.°</t>
        </is>
      </c>
      <c r="B1" s="6" t="inlineStr">
        <is>
          <t>Instrumento</t>
        </is>
      </c>
      <c r="C1" s="6" t="inlineStr">
        <is>
          <t>Ítem</t>
        </is>
      </c>
      <c r="D1" s="6" t="inlineStr">
        <is>
          <t>V Suficiencia</t>
        </is>
      </c>
      <c r="E1" s="6" t="inlineStr">
        <is>
          <t>V Claridad</t>
        </is>
      </c>
      <c r="F1" s="6" t="inlineStr">
        <is>
          <t>V Coherencia</t>
        </is>
      </c>
      <c r="G1" s="6" t="inlineStr">
        <is>
          <t>V Relevancia</t>
        </is>
      </c>
      <c r="H1" s="6" t="inlineStr">
        <is>
          <t>V del ítem</t>
        </is>
      </c>
      <c r="I1" s="6" t="inlineStr">
        <is>
          <t>Mínimo V</t>
        </is>
      </c>
      <c r="J1" s="6" t="inlineStr">
        <is>
          <t>Decisión</t>
        </is>
      </c>
    </row>
    <row r="2">
      <c r="A2" s="7" t="n">
        <v>1</v>
      </c>
      <c r="B2" s="7">
        <f>Juez1!B14</f>
        <v/>
      </c>
      <c r="C2" s="7">
        <f>Juez1!E14</f>
        <v/>
      </c>
      <c r="D2" s="10">
        <f>IF(COUNT(Juez1!F14,Juez2!F14,Juez3!F14)&lt;3,"",(Juez1!F14+Juez2!F14+Juez3!F14)/3)</f>
        <v/>
      </c>
      <c r="E2" s="10">
        <f>IF(COUNT(Juez1!G14,Juez2!G14,Juez3!G14)&lt;3,"",(Juez1!G14+Juez2!G14+Juez3!G14)/3)</f>
        <v/>
      </c>
      <c r="F2" s="10">
        <f>IF(COUNT(Juez1!H14,Juez2!H14,Juez3!H14)&lt;3,"",(Juez1!H14+Juez2!H14+Juez3!H14)/3)</f>
        <v/>
      </c>
      <c r="G2" s="10">
        <f>IF(COUNT(Juez1!I14,Juez2!I14,Juez3!I14)&lt;3,"",(Juez1!I14+Juez2!I14+Juez3!I14)/3)</f>
        <v/>
      </c>
      <c r="H2" s="10">
        <f>IF(COUNT(D2:G2)&lt;4,"",AVERAGE(D2:G2))</f>
        <v/>
      </c>
      <c r="I2" s="10">
        <f>IF(COUNT(D2:G2)&lt;4,"",MIN(D2:G2))</f>
        <v/>
      </c>
      <c r="J2" s="11">
        <f>IF(I2="","",IF(I2&gt;=1,"Válido",IF(I2&gt;=0.66,"Revisar","Reformular")))</f>
        <v/>
      </c>
    </row>
    <row r="3">
      <c r="A3" s="7" t="n">
        <v>2</v>
      </c>
      <c r="B3" s="7">
        <f>Juez1!B15</f>
        <v/>
      </c>
      <c r="C3" s="7">
        <f>Juez1!E15</f>
        <v/>
      </c>
      <c r="D3" s="10">
        <f>IF(COUNT(Juez1!F15,Juez2!F15,Juez3!F15)&lt;3,"",(Juez1!F15+Juez2!F15+Juez3!F15)/3)</f>
        <v/>
      </c>
      <c r="E3" s="10">
        <f>IF(COUNT(Juez1!G15,Juez2!G15,Juez3!G15)&lt;3,"",(Juez1!G15+Juez2!G15+Juez3!G15)/3)</f>
        <v/>
      </c>
      <c r="F3" s="10">
        <f>IF(COUNT(Juez1!H15,Juez2!H15,Juez3!H15)&lt;3,"",(Juez1!H15+Juez2!H15+Juez3!H15)/3)</f>
        <v/>
      </c>
      <c r="G3" s="10">
        <f>IF(COUNT(Juez1!I15,Juez2!I15,Juez3!I15)&lt;3,"",(Juez1!I15+Juez2!I15+Juez3!I15)/3)</f>
        <v/>
      </c>
      <c r="H3" s="10">
        <f>IF(COUNT(D3:G3)&lt;4,"",AVERAGE(D3:G3))</f>
        <v/>
      </c>
      <c r="I3" s="10">
        <f>IF(COUNT(D3:G3)&lt;4,"",MIN(D3:G3))</f>
        <v/>
      </c>
      <c r="J3" s="11">
        <f>IF(I3="","",IF(I3&gt;=1,"Válido",IF(I3&gt;=0.66,"Revisar","Reformular")))</f>
        <v/>
      </c>
    </row>
    <row r="4">
      <c r="A4" s="7" t="n">
        <v>3</v>
      </c>
      <c r="B4" s="7">
        <f>Juez1!B16</f>
        <v/>
      </c>
      <c r="C4" s="7">
        <f>Juez1!E16</f>
        <v/>
      </c>
      <c r="D4" s="10">
        <f>IF(COUNT(Juez1!F16,Juez2!F16,Juez3!F16)&lt;3,"",(Juez1!F16+Juez2!F16+Juez3!F16)/3)</f>
        <v/>
      </c>
      <c r="E4" s="10">
        <f>IF(COUNT(Juez1!G16,Juez2!G16,Juez3!G16)&lt;3,"",(Juez1!G16+Juez2!G16+Juez3!G16)/3)</f>
        <v/>
      </c>
      <c r="F4" s="10">
        <f>IF(COUNT(Juez1!H16,Juez2!H16,Juez3!H16)&lt;3,"",(Juez1!H16+Juez2!H16+Juez3!H16)/3)</f>
        <v/>
      </c>
      <c r="G4" s="10">
        <f>IF(COUNT(Juez1!I16,Juez2!I16,Juez3!I16)&lt;3,"",(Juez1!I16+Juez2!I16+Juez3!I16)/3)</f>
        <v/>
      </c>
      <c r="H4" s="10">
        <f>IF(COUNT(D4:G4)&lt;4,"",AVERAGE(D4:G4))</f>
        <v/>
      </c>
      <c r="I4" s="10">
        <f>IF(COUNT(D4:G4)&lt;4,"",MIN(D4:G4))</f>
        <v/>
      </c>
      <c r="J4" s="11">
        <f>IF(I4="","",IF(I4&gt;=1,"Válido",IF(I4&gt;=0.66,"Revisar","Reformular")))</f>
        <v/>
      </c>
    </row>
    <row r="5">
      <c r="A5" s="7" t="n">
        <v>4</v>
      </c>
      <c r="B5" s="7">
        <f>Juez1!B17</f>
        <v/>
      </c>
      <c r="C5" s="7">
        <f>Juez1!E17</f>
        <v/>
      </c>
      <c r="D5" s="10">
        <f>IF(COUNT(Juez1!F17,Juez2!F17,Juez3!F17)&lt;3,"",(Juez1!F17+Juez2!F17+Juez3!F17)/3)</f>
        <v/>
      </c>
      <c r="E5" s="10">
        <f>IF(COUNT(Juez1!G17,Juez2!G17,Juez3!G17)&lt;3,"",(Juez1!G17+Juez2!G17+Juez3!G17)/3)</f>
        <v/>
      </c>
      <c r="F5" s="10">
        <f>IF(COUNT(Juez1!H17,Juez2!H17,Juez3!H17)&lt;3,"",(Juez1!H17+Juez2!H17+Juez3!H17)/3)</f>
        <v/>
      </c>
      <c r="G5" s="10">
        <f>IF(COUNT(Juez1!I17,Juez2!I17,Juez3!I17)&lt;3,"",(Juez1!I17+Juez2!I17+Juez3!I17)/3)</f>
        <v/>
      </c>
      <c r="H5" s="10">
        <f>IF(COUNT(D5:G5)&lt;4,"",AVERAGE(D5:G5))</f>
        <v/>
      </c>
      <c r="I5" s="10">
        <f>IF(COUNT(D5:G5)&lt;4,"",MIN(D5:G5))</f>
        <v/>
      </c>
      <c r="J5" s="11">
        <f>IF(I5="","",IF(I5&gt;=1,"Válido",IF(I5&gt;=0.66,"Revisar","Reformular")))</f>
        <v/>
      </c>
    </row>
    <row r="6">
      <c r="A6" s="7" t="n">
        <v>5</v>
      </c>
      <c r="B6" s="7">
        <f>Juez1!B18</f>
        <v/>
      </c>
      <c r="C6" s="7">
        <f>Juez1!E18</f>
        <v/>
      </c>
      <c r="D6" s="10">
        <f>IF(COUNT(Juez1!F18,Juez2!F18,Juez3!F18)&lt;3,"",(Juez1!F18+Juez2!F18+Juez3!F18)/3)</f>
        <v/>
      </c>
      <c r="E6" s="10">
        <f>IF(COUNT(Juez1!G18,Juez2!G18,Juez3!G18)&lt;3,"",(Juez1!G18+Juez2!G18+Juez3!G18)/3)</f>
        <v/>
      </c>
      <c r="F6" s="10">
        <f>IF(COUNT(Juez1!H18,Juez2!H18,Juez3!H18)&lt;3,"",(Juez1!H18+Juez2!H18+Juez3!H18)/3)</f>
        <v/>
      </c>
      <c r="G6" s="10">
        <f>IF(COUNT(Juez1!I18,Juez2!I18,Juez3!I18)&lt;3,"",(Juez1!I18+Juez2!I18+Juez3!I18)/3)</f>
        <v/>
      </c>
      <c r="H6" s="10">
        <f>IF(COUNT(D6:G6)&lt;4,"",AVERAGE(D6:G6))</f>
        <v/>
      </c>
      <c r="I6" s="10">
        <f>IF(COUNT(D6:G6)&lt;4,"",MIN(D6:G6))</f>
        <v/>
      </c>
      <c r="J6" s="11">
        <f>IF(I6="","",IF(I6&gt;=1,"Válido",IF(I6&gt;=0.66,"Revisar","Reformular")))</f>
        <v/>
      </c>
    </row>
    <row r="7">
      <c r="A7" s="7" t="n">
        <v>6</v>
      </c>
      <c r="B7" s="7">
        <f>Juez1!B19</f>
        <v/>
      </c>
      <c r="C7" s="7">
        <f>Juez1!E19</f>
        <v/>
      </c>
      <c r="D7" s="10">
        <f>IF(COUNT(Juez1!F19,Juez2!F19,Juez3!F19)&lt;3,"",(Juez1!F19+Juez2!F19+Juez3!F19)/3)</f>
        <v/>
      </c>
      <c r="E7" s="10">
        <f>IF(COUNT(Juez1!G19,Juez2!G19,Juez3!G19)&lt;3,"",(Juez1!G19+Juez2!G19+Juez3!G19)/3)</f>
        <v/>
      </c>
      <c r="F7" s="10">
        <f>IF(COUNT(Juez1!H19,Juez2!H19,Juez3!H19)&lt;3,"",(Juez1!H19+Juez2!H19+Juez3!H19)/3)</f>
        <v/>
      </c>
      <c r="G7" s="10">
        <f>IF(COUNT(Juez1!I19,Juez2!I19,Juez3!I19)&lt;3,"",(Juez1!I19+Juez2!I19+Juez3!I19)/3)</f>
        <v/>
      </c>
      <c r="H7" s="10">
        <f>IF(COUNT(D7:G7)&lt;4,"",AVERAGE(D7:G7))</f>
        <v/>
      </c>
      <c r="I7" s="10">
        <f>IF(COUNT(D7:G7)&lt;4,"",MIN(D7:G7))</f>
        <v/>
      </c>
      <c r="J7" s="11">
        <f>IF(I7="","",IF(I7&gt;=1,"Válido",IF(I7&gt;=0.66,"Revisar","Reformular")))</f>
        <v/>
      </c>
    </row>
    <row r="8">
      <c r="A8" s="7" t="n">
        <v>7</v>
      </c>
      <c r="B8" s="7">
        <f>Juez1!B20</f>
        <v/>
      </c>
      <c r="C8" s="7">
        <f>Juez1!E20</f>
        <v/>
      </c>
      <c r="D8" s="10">
        <f>IF(COUNT(Juez1!F20,Juez2!F20,Juez3!F20)&lt;3,"",(Juez1!F20+Juez2!F20+Juez3!F20)/3)</f>
        <v/>
      </c>
      <c r="E8" s="10">
        <f>IF(COUNT(Juez1!G20,Juez2!G20,Juez3!G20)&lt;3,"",(Juez1!G20+Juez2!G20+Juez3!G20)/3)</f>
        <v/>
      </c>
      <c r="F8" s="10">
        <f>IF(COUNT(Juez1!H20,Juez2!H20,Juez3!H20)&lt;3,"",(Juez1!H20+Juez2!H20+Juez3!H20)/3)</f>
        <v/>
      </c>
      <c r="G8" s="10">
        <f>IF(COUNT(Juez1!I20,Juez2!I20,Juez3!I20)&lt;3,"",(Juez1!I20+Juez2!I20+Juez3!I20)/3)</f>
        <v/>
      </c>
      <c r="H8" s="10">
        <f>IF(COUNT(D8:G8)&lt;4,"",AVERAGE(D8:G8))</f>
        <v/>
      </c>
      <c r="I8" s="10">
        <f>IF(COUNT(D8:G8)&lt;4,"",MIN(D8:G8))</f>
        <v/>
      </c>
      <c r="J8" s="11">
        <f>IF(I8="","",IF(I8&gt;=1,"Válido",IF(I8&gt;=0.66,"Revisar","Reformular")))</f>
        <v/>
      </c>
    </row>
    <row r="9">
      <c r="A9" s="7" t="n">
        <v>8</v>
      </c>
      <c r="B9" s="7">
        <f>Juez1!B21</f>
        <v/>
      </c>
      <c r="C9" s="7">
        <f>Juez1!E21</f>
        <v/>
      </c>
      <c r="D9" s="10">
        <f>IF(COUNT(Juez1!F21,Juez2!F21,Juez3!F21)&lt;3,"",(Juez1!F21+Juez2!F21+Juez3!F21)/3)</f>
        <v/>
      </c>
      <c r="E9" s="10">
        <f>IF(COUNT(Juez1!G21,Juez2!G21,Juez3!G21)&lt;3,"",(Juez1!G21+Juez2!G21+Juez3!G21)/3)</f>
        <v/>
      </c>
      <c r="F9" s="10">
        <f>IF(COUNT(Juez1!H21,Juez2!H21,Juez3!H21)&lt;3,"",(Juez1!H21+Juez2!H21+Juez3!H21)/3)</f>
        <v/>
      </c>
      <c r="G9" s="10">
        <f>IF(COUNT(Juez1!I21,Juez2!I21,Juez3!I21)&lt;3,"",(Juez1!I21+Juez2!I21+Juez3!I21)/3)</f>
        <v/>
      </c>
      <c r="H9" s="10">
        <f>IF(COUNT(D9:G9)&lt;4,"",AVERAGE(D9:G9))</f>
        <v/>
      </c>
      <c r="I9" s="10">
        <f>IF(COUNT(D9:G9)&lt;4,"",MIN(D9:G9))</f>
        <v/>
      </c>
      <c r="J9" s="11">
        <f>IF(I9="","",IF(I9&gt;=1,"Válido",IF(I9&gt;=0.66,"Revisar","Reformular")))</f>
        <v/>
      </c>
    </row>
    <row r="10">
      <c r="A10" s="7" t="n">
        <v>9</v>
      </c>
      <c r="B10" s="7">
        <f>Juez1!B22</f>
        <v/>
      </c>
      <c r="C10" s="7">
        <f>Juez1!E22</f>
        <v/>
      </c>
      <c r="D10" s="10">
        <f>IF(COUNT(Juez1!F22,Juez2!F22,Juez3!F22)&lt;3,"",(Juez1!F22+Juez2!F22+Juez3!F22)/3)</f>
        <v/>
      </c>
      <c r="E10" s="10">
        <f>IF(COUNT(Juez1!G22,Juez2!G22,Juez3!G22)&lt;3,"",(Juez1!G22+Juez2!G22+Juez3!G22)/3)</f>
        <v/>
      </c>
      <c r="F10" s="10">
        <f>IF(COUNT(Juez1!H22,Juez2!H22,Juez3!H22)&lt;3,"",(Juez1!H22+Juez2!H22+Juez3!H22)/3)</f>
        <v/>
      </c>
      <c r="G10" s="10">
        <f>IF(COUNT(Juez1!I22,Juez2!I22,Juez3!I22)&lt;3,"",(Juez1!I22+Juez2!I22+Juez3!I22)/3)</f>
        <v/>
      </c>
      <c r="H10" s="10">
        <f>IF(COUNT(D10:G10)&lt;4,"",AVERAGE(D10:G10))</f>
        <v/>
      </c>
      <c r="I10" s="10">
        <f>IF(COUNT(D10:G10)&lt;4,"",MIN(D10:G10))</f>
        <v/>
      </c>
      <c r="J10" s="11">
        <f>IF(I10="","",IF(I10&gt;=1,"Válido",IF(I10&gt;=0.66,"Revisar","Reformular")))</f>
        <v/>
      </c>
    </row>
    <row r="11">
      <c r="A11" s="7" t="n">
        <v>10</v>
      </c>
      <c r="B11" s="7">
        <f>Juez1!B23</f>
        <v/>
      </c>
      <c r="C11" s="7">
        <f>Juez1!E23</f>
        <v/>
      </c>
      <c r="D11" s="10">
        <f>IF(COUNT(Juez1!F23,Juez2!F23,Juez3!F23)&lt;3,"",(Juez1!F23+Juez2!F23+Juez3!F23)/3)</f>
        <v/>
      </c>
      <c r="E11" s="10">
        <f>IF(COUNT(Juez1!G23,Juez2!G23,Juez3!G23)&lt;3,"",(Juez1!G23+Juez2!G23+Juez3!G23)/3)</f>
        <v/>
      </c>
      <c r="F11" s="10">
        <f>IF(COUNT(Juez1!H23,Juez2!H23,Juez3!H23)&lt;3,"",(Juez1!H23+Juez2!H23+Juez3!H23)/3)</f>
        <v/>
      </c>
      <c r="G11" s="10">
        <f>IF(COUNT(Juez1!I23,Juez2!I23,Juez3!I23)&lt;3,"",(Juez1!I23+Juez2!I23+Juez3!I23)/3)</f>
        <v/>
      </c>
      <c r="H11" s="10">
        <f>IF(COUNT(D11:G11)&lt;4,"",AVERAGE(D11:G11))</f>
        <v/>
      </c>
      <c r="I11" s="10">
        <f>IF(COUNT(D11:G11)&lt;4,"",MIN(D11:G11))</f>
        <v/>
      </c>
      <c r="J11" s="11">
        <f>IF(I11="","",IF(I11&gt;=1,"Válido",IF(I11&gt;=0.66,"Revisar","Reformular")))</f>
        <v/>
      </c>
    </row>
    <row r="12">
      <c r="A12" s="7" t="n">
        <v>11</v>
      </c>
      <c r="B12" s="7">
        <f>Juez1!B24</f>
        <v/>
      </c>
      <c r="C12" s="7">
        <f>Juez1!E24</f>
        <v/>
      </c>
      <c r="D12" s="10">
        <f>IF(COUNT(Juez1!F24,Juez2!F24,Juez3!F24)&lt;3,"",(Juez1!F24+Juez2!F24+Juez3!F24)/3)</f>
        <v/>
      </c>
      <c r="E12" s="10">
        <f>IF(COUNT(Juez1!G24,Juez2!G24,Juez3!G24)&lt;3,"",(Juez1!G24+Juez2!G24+Juez3!G24)/3)</f>
        <v/>
      </c>
      <c r="F12" s="10">
        <f>IF(COUNT(Juez1!H24,Juez2!H24,Juez3!H24)&lt;3,"",(Juez1!H24+Juez2!H24+Juez3!H24)/3)</f>
        <v/>
      </c>
      <c r="G12" s="10">
        <f>IF(COUNT(Juez1!I24,Juez2!I24,Juez3!I24)&lt;3,"",(Juez1!I24+Juez2!I24+Juez3!I24)/3)</f>
        <v/>
      </c>
      <c r="H12" s="10">
        <f>IF(COUNT(D12:G12)&lt;4,"",AVERAGE(D12:G12))</f>
        <v/>
      </c>
      <c r="I12" s="10">
        <f>IF(COUNT(D12:G12)&lt;4,"",MIN(D12:G12))</f>
        <v/>
      </c>
      <c r="J12" s="11">
        <f>IF(I12="","",IF(I12&gt;=1,"Válido",IF(I12&gt;=0.66,"Revisar","Reformular")))</f>
        <v/>
      </c>
    </row>
    <row r="13">
      <c r="A13" s="7" t="n">
        <v>12</v>
      </c>
      <c r="B13" s="7">
        <f>Juez1!B25</f>
        <v/>
      </c>
      <c r="C13" s="7">
        <f>Juez1!E25</f>
        <v/>
      </c>
      <c r="D13" s="10">
        <f>IF(COUNT(Juez1!F25,Juez2!F25,Juez3!F25)&lt;3,"",(Juez1!F25+Juez2!F25+Juez3!F25)/3)</f>
        <v/>
      </c>
      <c r="E13" s="10">
        <f>IF(COUNT(Juez1!G25,Juez2!G25,Juez3!G25)&lt;3,"",(Juez1!G25+Juez2!G25+Juez3!G25)/3)</f>
        <v/>
      </c>
      <c r="F13" s="10">
        <f>IF(COUNT(Juez1!H25,Juez2!H25,Juez3!H25)&lt;3,"",(Juez1!H25+Juez2!H25+Juez3!H25)/3)</f>
        <v/>
      </c>
      <c r="G13" s="10">
        <f>IF(COUNT(Juez1!I25,Juez2!I25,Juez3!I25)&lt;3,"",(Juez1!I25+Juez2!I25+Juez3!I25)/3)</f>
        <v/>
      </c>
      <c r="H13" s="10">
        <f>IF(COUNT(D13:G13)&lt;4,"",AVERAGE(D13:G13))</f>
        <v/>
      </c>
      <c r="I13" s="10">
        <f>IF(COUNT(D13:G13)&lt;4,"",MIN(D13:G13))</f>
        <v/>
      </c>
      <c r="J13" s="11">
        <f>IF(I13="","",IF(I13&gt;=1,"Válido",IF(I13&gt;=0.66,"Revisar","Reformular")))</f>
        <v/>
      </c>
    </row>
    <row r="14">
      <c r="A14" s="7" t="n">
        <v>13</v>
      </c>
      <c r="B14" s="7">
        <f>Juez1!B26</f>
        <v/>
      </c>
      <c r="C14" s="7">
        <f>Juez1!E26</f>
        <v/>
      </c>
      <c r="D14" s="10">
        <f>IF(COUNT(Juez1!F26,Juez2!F26,Juez3!F26)&lt;3,"",(Juez1!F26+Juez2!F26+Juez3!F26)/3)</f>
        <v/>
      </c>
      <c r="E14" s="10">
        <f>IF(COUNT(Juez1!G26,Juez2!G26,Juez3!G26)&lt;3,"",(Juez1!G26+Juez2!G26+Juez3!G26)/3)</f>
        <v/>
      </c>
      <c r="F14" s="10">
        <f>IF(COUNT(Juez1!H26,Juez2!H26,Juez3!H26)&lt;3,"",(Juez1!H26+Juez2!H26+Juez3!H26)/3)</f>
        <v/>
      </c>
      <c r="G14" s="10">
        <f>IF(COUNT(Juez1!I26,Juez2!I26,Juez3!I26)&lt;3,"",(Juez1!I26+Juez2!I26+Juez3!I26)/3)</f>
        <v/>
      </c>
      <c r="H14" s="10">
        <f>IF(COUNT(D14:G14)&lt;4,"",AVERAGE(D14:G14))</f>
        <v/>
      </c>
      <c r="I14" s="10">
        <f>IF(COUNT(D14:G14)&lt;4,"",MIN(D14:G14))</f>
        <v/>
      </c>
      <c r="J14" s="11">
        <f>IF(I14="","",IF(I14&gt;=1,"Válido",IF(I14&gt;=0.66,"Revisar","Reformular")))</f>
        <v/>
      </c>
    </row>
    <row r="15">
      <c r="A15" s="7" t="n">
        <v>14</v>
      </c>
      <c r="B15" s="7">
        <f>Juez1!B27</f>
        <v/>
      </c>
      <c r="C15" s="7">
        <f>Juez1!E27</f>
        <v/>
      </c>
      <c r="D15" s="10">
        <f>IF(COUNT(Juez1!F27,Juez2!F27,Juez3!F27)&lt;3,"",(Juez1!F27+Juez2!F27+Juez3!F27)/3)</f>
        <v/>
      </c>
      <c r="E15" s="10">
        <f>IF(COUNT(Juez1!G27,Juez2!G27,Juez3!G27)&lt;3,"",(Juez1!G27+Juez2!G27+Juez3!G27)/3)</f>
        <v/>
      </c>
      <c r="F15" s="10">
        <f>IF(COUNT(Juez1!H27,Juez2!H27,Juez3!H27)&lt;3,"",(Juez1!H27+Juez2!H27+Juez3!H27)/3)</f>
        <v/>
      </c>
      <c r="G15" s="10">
        <f>IF(COUNT(Juez1!I27,Juez2!I27,Juez3!I27)&lt;3,"",(Juez1!I27+Juez2!I27+Juez3!I27)/3)</f>
        <v/>
      </c>
      <c r="H15" s="10">
        <f>IF(COUNT(D15:G15)&lt;4,"",AVERAGE(D15:G15))</f>
        <v/>
      </c>
      <c r="I15" s="10">
        <f>IF(COUNT(D15:G15)&lt;4,"",MIN(D15:G15))</f>
        <v/>
      </c>
      <c r="J15" s="11">
        <f>IF(I15="","",IF(I15&gt;=1,"Válido",IF(I15&gt;=0.66,"Revisar","Reformular")))</f>
        <v/>
      </c>
    </row>
    <row r="16">
      <c r="A16" s="7" t="n">
        <v>15</v>
      </c>
      <c r="B16" s="7">
        <f>Juez1!B28</f>
        <v/>
      </c>
      <c r="C16" s="7">
        <f>Juez1!E28</f>
        <v/>
      </c>
      <c r="D16" s="10">
        <f>IF(COUNT(Juez1!F28,Juez2!F28,Juez3!F28)&lt;3,"",(Juez1!F28+Juez2!F28+Juez3!F28)/3)</f>
        <v/>
      </c>
      <c r="E16" s="10">
        <f>IF(COUNT(Juez1!G28,Juez2!G28,Juez3!G28)&lt;3,"",(Juez1!G28+Juez2!G28+Juez3!G28)/3)</f>
        <v/>
      </c>
      <c r="F16" s="10">
        <f>IF(COUNT(Juez1!H28,Juez2!H28,Juez3!H28)&lt;3,"",(Juez1!H28+Juez2!H28+Juez3!H28)/3)</f>
        <v/>
      </c>
      <c r="G16" s="10">
        <f>IF(COUNT(Juez1!I28,Juez2!I28,Juez3!I28)&lt;3,"",(Juez1!I28+Juez2!I28+Juez3!I28)/3)</f>
        <v/>
      </c>
      <c r="H16" s="10">
        <f>IF(COUNT(D16:G16)&lt;4,"",AVERAGE(D16:G16))</f>
        <v/>
      </c>
      <c r="I16" s="10">
        <f>IF(COUNT(D16:G16)&lt;4,"",MIN(D16:G16))</f>
        <v/>
      </c>
      <c r="J16" s="11">
        <f>IF(I16="","",IF(I16&gt;=1,"Válido",IF(I16&gt;=0.66,"Revisar","Reformular")))</f>
        <v/>
      </c>
    </row>
    <row r="17">
      <c r="A17" s="7" t="n">
        <v>16</v>
      </c>
      <c r="B17" s="7">
        <f>Juez1!B29</f>
        <v/>
      </c>
      <c r="C17" s="7">
        <f>Juez1!E29</f>
        <v/>
      </c>
      <c r="D17" s="10">
        <f>IF(COUNT(Juez1!F29,Juez2!F29,Juez3!F29)&lt;3,"",(Juez1!F29+Juez2!F29+Juez3!F29)/3)</f>
        <v/>
      </c>
      <c r="E17" s="10">
        <f>IF(COUNT(Juez1!G29,Juez2!G29,Juez3!G29)&lt;3,"",(Juez1!G29+Juez2!G29+Juez3!G29)/3)</f>
        <v/>
      </c>
      <c r="F17" s="10">
        <f>IF(COUNT(Juez1!H29,Juez2!H29,Juez3!H29)&lt;3,"",(Juez1!H29+Juez2!H29+Juez3!H29)/3)</f>
        <v/>
      </c>
      <c r="G17" s="10">
        <f>IF(COUNT(Juez1!I29,Juez2!I29,Juez3!I29)&lt;3,"",(Juez1!I29+Juez2!I29+Juez3!I29)/3)</f>
        <v/>
      </c>
      <c r="H17" s="10">
        <f>IF(COUNT(D17:G17)&lt;4,"",AVERAGE(D17:G17))</f>
        <v/>
      </c>
      <c r="I17" s="10">
        <f>IF(COUNT(D17:G17)&lt;4,"",MIN(D17:G17))</f>
        <v/>
      </c>
      <c r="J17" s="11">
        <f>IF(I17="","",IF(I17&gt;=1,"Válido",IF(I17&gt;=0.66,"Revisar","Reformular")))</f>
        <v/>
      </c>
    </row>
    <row r="18">
      <c r="A18" s="7" t="n">
        <v>17</v>
      </c>
      <c r="B18" s="7">
        <f>Juez1!B30</f>
        <v/>
      </c>
      <c r="C18" s="7">
        <f>Juez1!E30</f>
        <v/>
      </c>
      <c r="D18" s="10">
        <f>IF(COUNT(Juez1!F30,Juez2!F30,Juez3!F30)&lt;3,"",(Juez1!F30+Juez2!F30+Juez3!F30)/3)</f>
        <v/>
      </c>
      <c r="E18" s="10">
        <f>IF(COUNT(Juez1!G30,Juez2!G30,Juez3!G30)&lt;3,"",(Juez1!G30+Juez2!G30+Juez3!G30)/3)</f>
        <v/>
      </c>
      <c r="F18" s="10">
        <f>IF(COUNT(Juez1!H30,Juez2!H30,Juez3!H30)&lt;3,"",(Juez1!H30+Juez2!H30+Juez3!H30)/3)</f>
        <v/>
      </c>
      <c r="G18" s="10">
        <f>IF(COUNT(Juez1!I30,Juez2!I30,Juez3!I30)&lt;3,"",(Juez1!I30+Juez2!I30+Juez3!I30)/3)</f>
        <v/>
      </c>
      <c r="H18" s="10">
        <f>IF(COUNT(D18:G18)&lt;4,"",AVERAGE(D18:G18))</f>
        <v/>
      </c>
      <c r="I18" s="10">
        <f>IF(COUNT(D18:G18)&lt;4,"",MIN(D18:G18))</f>
        <v/>
      </c>
      <c r="J18" s="11">
        <f>IF(I18="","",IF(I18&gt;=1,"Válido",IF(I18&gt;=0.66,"Revisar","Reformular")))</f>
        <v/>
      </c>
    </row>
    <row r="19">
      <c r="A19" s="7" t="n">
        <v>18</v>
      </c>
      <c r="B19" s="7">
        <f>Juez1!B31</f>
        <v/>
      </c>
      <c r="C19" s="7">
        <f>Juez1!E31</f>
        <v/>
      </c>
      <c r="D19" s="10">
        <f>IF(COUNT(Juez1!F31,Juez2!F31,Juez3!F31)&lt;3,"",(Juez1!F31+Juez2!F31+Juez3!F31)/3)</f>
        <v/>
      </c>
      <c r="E19" s="10">
        <f>IF(COUNT(Juez1!G31,Juez2!G31,Juez3!G31)&lt;3,"",(Juez1!G31+Juez2!G31+Juez3!G31)/3)</f>
        <v/>
      </c>
      <c r="F19" s="10">
        <f>IF(COUNT(Juez1!H31,Juez2!H31,Juez3!H31)&lt;3,"",(Juez1!H31+Juez2!H31+Juez3!H31)/3)</f>
        <v/>
      </c>
      <c r="G19" s="10">
        <f>IF(COUNT(Juez1!I31,Juez2!I31,Juez3!I31)&lt;3,"",(Juez1!I31+Juez2!I31+Juez3!I31)/3)</f>
        <v/>
      </c>
      <c r="H19" s="10">
        <f>IF(COUNT(D19:G19)&lt;4,"",AVERAGE(D19:G19))</f>
        <v/>
      </c>
      <c r="I19" s="10">
        <f>IF(COUNT(D19:G19)&lt;4,"",MIN(D19:G19))</f>
        <v/>
      </c>
      <c r="J19" s="11">
        <f>IF(I19="","",IF(I19&gt;=1,"Válido",IF(I19&gt;=0.66,"Revisar","Reformular")))</f>
        <v/>
      </c>
    </row>
    <row r="20">
      <c r="A20" s="7" t="n">
        <v>19</v>
      </c>
      <c r="B20" s="7">
        <f>Juez1!B32</f>
        <v/>
      </c>
      <c r="C20" s="7">
        <f>Juez1!E32</f>
        <v/>
      </c>
      <c r="D20" s="10">
        <f>IF(COUNT(Juez1!F32,Juez2!F32,Juez3!F32)&lt;3,"",(Juez1!F32+Juez2!F32+Juez3!F32)/3)</f>
        <v/>
      </c>
      <c r="E20" s="10">
        <f>IF(COUNT(Juez1!G32,Juez2!G32,Juez3!G32)&lt;3,"",(Juez1!G32+Juez2!G32+Juez3!G32)/3)</f>
        <v/>
      </c>
      <c r="F20" s="10">
        <f>IF(COUNT(Juez1!H32,Juez2!H32,Juez3!H32)&lt;3,"",(Juez1!H32+Juez2!H32+Juez3!H32)/3)</f>
        <v/>
      </c>
      <c r="G20" s="10">
        <f>IF(COUNT(Juez1!I32,Juez2!I32,Juez3!I32)&lt;3,"",(Juez1!I32+Juez2!I32+Juez3!I32)/3)</f>
        <v/>
      </c>
      <c r="H20" s="10">
        <f>IF(COUNT(D20:G20)&lt;4,"",AVERAGE(D20:G20))</f>
        <v/>
      </c>
      <c r="I20" s="10">
        <f>IF(COUNT(D20:G20)&lt;4,"",MIN(D20:G20))</f>
        <v/>
      </c>
      <c r="J20" s="11">
        <f>IF(I20="","",IF(I20&gt;=1,"Válido",IF(I20&gt;=0.66,"Revisar","Reformular")))</f>
        <v/>
      </c>
    </row>
    <row r="21">
      <c r="A21" s="7" t="n">
        <v>20</v>
      </c>
      <c r="B21" s="7">
        <f>Juez1!B33</f>
        <v/>
      </c>
      <c r="C21" s="7">
        <f>Juez1!E33</f>
        <v/>
      </c>
      <c r="D21" s="10">
        <f>IF(COUNT(Juez1!F33,Juez2!F33,Juez3!F33)&lt;3,"",(Juez1!F33+Juez2!F33+Juez3!F33)/3)</f>
        <v/>
      </c>
      <c r="E21" s="10">
        <f>IF(COUNT(Juez1!G33,Juez2!G33,Juez3!G33)&lt;3,"",(Juez1!G33+Juez2!G33+Juez3!G33)/3)</f>
        <v/>
      </c>
      <c r="F21" s="10">
        <f>IF(COUNT(Juez1!H33,Juez2!H33,Juez3!H33)&lt;3,"",(Juez1!H33+Juez2!H33+Juez3!H33)/3)</f>
        <v/>
      </c>
      <c r="G21" s="10">
        <f>IF(COUNT(Juez1!I33,Juez2!I33,Juez3!I33)&lt;3,"",(Juez1!I33+Juez2!I33+Juez3!I33)/3)</f>
        <v/>
      </c>
      <c r="H21" s="10">
        <f>IF(COUNT(D21:G21)&lt;4,"",AVERAGE(D21:G21))</f>
        <v/>
      </c>
      <c r="I21" s="10">
        <f>IF(COUNT(D21:G21)&lt;4,"",MIN(D21:G21))</f>
        <v/>
      </c>
      <c r="J21" s="11">
        <f>IF(I21="","",IF(I21&gt;=1,"Válido",IF(I21&gt;=0.66,"Revisar","Reformular")))</f>
        <v/>
      </c>
    </row>
    <row r="22">
      <c r="A22" s="7" t="n">
        <v>21</v>
      </c>
      <c r="B22" s="7">
        <f>Juez1!B34</f>
        <v/>
      </c>
      <c r="C22" s="7">
        <f>Juez1!E34</f>
        <v/>
      </c>
      <c r="D22" s="10">
        <f>IF(COUNT(Juez1!F34,Juez2!F34,Juez3!F34)&lt;3,"",(Juez1!F34+Juez2!F34+Juez3!F34)/3)</f>
        <v/>
      </c>
      <c r="E22" s="10">
        <f>IF(COUNT(Juez1!G34,Juez2!G34,Juez3!G34)&lt;3,"",(Juez1!G34+Juez2!G34+Juez3!G34)/3)</f>
        <v/>
      </c>
      <c r="F22" s="10">
        <f>IF(COUNT(Juez1!H34,Juez2!H34,Juez3!H34)&lt;3,"",(Juez1!H34+Juez2!H34+Juez3!H34)/3)</f>
        <v/>
      </c>
      <c r="G22" s="10">
        <f>IF(COUNT(Juez1!I34,Juez2!I34,Juez3!I34)&lt;3,"",(Juez1!I34+Juez2!I34+Juez3!I34)/3)</f>
        <v/>
      </c>
      <c r="H22" s="10">
        <f>IF(COUNT(D22:G22)&lt;4,"",AVERAGE(D22:G22))</f>
        <v/>
      </c>
      <c r="I22" s="10">
        <f>IF(COUNT(D22:G22)&lt;4,"",MIN(D22:G22))</f>
        <v/>
      </c>
      <c r="J22" s="11">
        <f>IF(I22="","",IF(I22&gt;=1,"Válido",IF(I22&gt;=0.66,"Revisar","Reformular")))</f>
        <v/>
      </c>
    </row>
    <row r="23">
      <c r="A23" s="7" t="n">
        <v>22</v>
      </c>
      <c r="B23" s="7">
        <f>Juez1!B35</f>
        <v/>
      </c>
      <c r="C23" s="7">
        <f>Juez1!E35</f>
        <v/>
      </c>
      <c r="D23" s="10">
        <f>IF(COUNT(Juez1!F35,Juez2!F35,Juez3!F35)&lt;3,"",(Juez1!F35+Juez2!F35+Juez3!F35)/3)</f>
        <v/>
      </c>
      <c r="E23" s="10">
        <f>IF(COUNT(Juez1!G35,Juez2!G35,Juez3!G35)&lt;3,"",(Juez1!G35+Juez2!G35+Juez3!G35)/3)</f>
        <v/>
      </c>
      <c r="F23" s="10">
        <f>IF(COUNT(Juez1!H35,Juez2!H35,Juez3!H35)&lt;3,"",(Juez1!H35+Juez2!H35+Juez3!H35)/3)</f>
        <v/>
      </c>
      <c r="G23" s="10">
        <f>IF(COUNT(Juez1!I35,Juez2!I35,Juez3!I35)&lt;3,"",(Juez1!I35+Juez2!I35+Juez3!I35)/3)</f>
        <v/>
      </c>
      <c r="H23" s="10">
        <f>IF(COUNT(D23:G23)&lt;4,"",AVERAGE(D23:G23))</f>
        <v/>
      </c>
      <c r="I23" s="10">
        <f>IF(COUNT(D23:G23)&lt;4,"",MIN(D23:G23))</f>
        <v/>
      </c>
      <c r="J23" s="11">
        <f>IF(I23="","",IF(I23&gt;=1,"Válido",IF(I23&gt;=0.66,"Revisar","Reformular")))</f>
        <v/>
      </c>
    </row>
    <row r="24">
      <c r="A24" s="7" t="n">
        <v>23</v>
      </c>
      <c r="B24" s="7">
        <f>Juez1!B36</f>
        <v/>
      </c>
      <c r="C24" s="7">
        <f>Juez1!E36</f>
        <v/>
      </c>
      <c r="D24" s="10">
        <f>IF(COUNT(Juez1!F36,Juez2!F36,Juez3!F36)&lt;3,"",(Juez1!F36+Juez2!F36+Juez3!F36)/3)</f>
        <v/>
      </c>
      <c r="E24" s="10">
        <f>IF(COUNT(Juez1!G36,Juez2!G36,Juez3!G36)&lt;3,"",(Juez1!G36+Juez2!G36+Juez3!G36)/3)</f>
        <v/>
      </c>
      <c r="F24" s="10">
        <f>IF(COUNT(Juez1!H36,Juez2!H36,Juez3!H36)&lt;3,"",(Juez1!H36+Juez2!H36+Juez3!H36)/3)</f>
        <v/>
      </c>
      <c r="G24" s="10">
        <f>IF(COUNT(Juez1!I36,Juez2!I36,Juez3!I36)&lt;3,"",(Juez1!I36+Juez2!I36+Juez3!I36)/3)</f>
        <v/>
      </c>
      <c r="H24" s="10">
        <f>IF(COUNT(D24:G24)&lt;4,"",AVERAGE(D24:G24))</f>
        <v/>
      </c>
      <c r="I24" s="10">
        <f>IF(COUNT(D24:G24)&lt;4,"",MIN(D24:G24))</f>
        <v/>
      </c>
      <c r="J24" s="11">
        <f>IF(I24="","",IF(I24&gt;=1,"Válido",IF(I24&gt;=0.66,"Revisar","Reformular")))</f>
        <v/>
      </c>
    </row>
    <row r="25">
      <c r="A25" s="7" t="n">
        <v>24</v>
      </c>
      <c r="B25" s="7">
        <f>Juez1!B37</f>
        <v/>
      </c>
      <c r="C25" s="7">
        <f>Juez1!E37</f>
        <v/>
      </c>
      <c r="D25" s="10">
        <f>IF(COUNT(Juez1!F37,Juez2!F37,Juez3!F37)&lt;3,"",(Juez1!F37+Juez2!F37+Juez3!F37)/3)</f>
        <v/>
      </c>
      <c r="E25" s="10">
        <f>IF(COUNT(Juez1!G37,Juez2!G37,Juez3!G37)&lt;3,"",(Juez1!G37+Juez2!G37+Juez3!G37)/3)</f>
        <v/>
      </c>
      <c r="F25" s="10">
        <f>IF(COUNT(Juez1!H37,Juez2!H37,Juez3!H37)&lt;3,"",(Juez1!H37+Juez2!H37+Juez3!H37)/3)</f>
        <v/>
      </c>
      <c r="G25" s="10">
        <f>IF(COUNT(Juez1!I37,Juez2!I37,Juez3!I37)&lt;3,"",(Juez1!I37+Juez2!I37+Juez3!I37)/3)</f>
        <v/>
      </c>
      <c r="H25" s="10">
        <f>IF(COUNT(D25:G25)&lt;4,"",AVERAGE(D25:G25))</f>
        <v/>
      </c>
      <c r="I25" s="10">
        <f>IF(COUNT(D25:G25)&lt;4,"",MIN(D25:G25))</f>
        <v/>
      </c>
      <c r="J25" s="11">
        <f>IF(I25="","",IF(I25&gt;=1,"Válido",IF(I25&gt;=0.66,"Revisar","Reformular")))</f>
        <v/>
      </c>
    </row>
    <row r="26">
      <c r="A26" s="7" t="n">
        <v>25</v>
      </c>
      <c r="B26" s="7">
        <f>Juez1!B38</f>
        <v/>
      </c>
      <c r="C26" s="7">
        <f>Juez1!E38</f>
        <v/>
      </c>
      <c r="D26" s="10">
        <f>IF(COUNT(Juez1!F38,Juez2!F38,Juez3!F38)&lt;3,"",(Juez1!F38+Juez2!F38+Juez3!F38)/3)</f>
        <v/>
      </c>
      <c r="E26" s="10">
        <f>IF(COUNT(Juez1!G38,Juez2!G38,Juez3!G38)&lt;3,"",(Juez1!G38+Juez2!G38+Juez3!G38)/3)</f>
        <v/>
      </c>
      <c r="F26" s="10">
        <f>IF(COUNT(Juez1!H38,Juez2!H38,Juez3!H38)&lt;3,"",(Juez1!H38+Juez2!H38+Juez3!H38)/3)</f>
        <v/>
      </c>
      <c r="G26" s="10">
        <f>IF(COUNT(Juez1!I38,Juez2!I38,Juez3!I38)&lt;3,"",(Juez1!I38+Juez2!I38+Juez3!I38)/3)</f>
        <v/>
      </c>
      <c r="H26" s="10">
        <f>IF(COUNT(D26:G26)&lt;4,"",AVERAGE(D26:G26))</f>
        <v/>
      </c>
      <c r="I26" s="10">
        <f>IF(COUNT(D26:G26)&lt;4,"",MIN(D26:G26))</f>
        <v/>
      </c>
      <c r="J26" s="11">
        <f>IF(I26="","",IF(I26&gt;=1,"Válido",IF(I26&gt;=0.66,"Revisar","Reformular")))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4" customWidth="1" min="1" max="1"/>
    <col width="8" customWidth="1" min="2" max="2"/>
    <col width="16" customWidth="1" min="3" max="3"/>
    <col width="12" customWidth="1" min="4" max="4"/>
    <col width="10" customWidth="1" min="5" max="5"/>
    <col width="10" customWidth="1" min="6" max="6"/>
    <col width="12" customWidth="1" min="7" max="7"/>
  </cols>
  <sheetData>
    <row r="1" ht="30" customHeight="1">
      <c r="A1" s="6" t="inlineStr">
        <is>
          <t>Instrumento</t>
        </is>
      </c>
      <c r="B1" s="6" t="inlineStr">
        <is>
          <t>Ítems</t>
        </is>
      </c>
      <c r="C1" s="6" t="inlineStr">
        <is>
          <t>Ítems con calificación completa</t>
        </is>
      </c>
      <c r="D1" s="6" t="inlineStr">
        <is>
          <t>V promedio</t>
        </is>
      </c>
      <c r="E1" s="6" t="inlineStr">
        <is>
          <t>Válidos</t>
        </is>
      </c>
      <c r="F1" s="6" t="inlineStr">
        <is>
          <t>Revisar</t>
        </is>
      </c>
      <c r="G1" s="6" t="inlineStr">
        <is>
          <t>Reformular</t>
        </is>
      </c>
    </row>
    <row r="2">
      <c r="A2" s="12" t="inlineStr">
        <is>
          <t>Instrumento 1. Ficha de registro de tiempos</t>
        </is>
      </c>
      <c r="B2" s="13">
        <f>COUNTIF(Resultados!$B$2:$B$26,A2)</f>
        <v/>
      </c>
      <c r="C2" s="13">
        <f>COUNTIFS(Resultados!$B$2:$B$26,A2,Resultados!$H$2:$H$26,"&gt;=0")</f>
        <v/>
      </c>
      <c r="D2" s="14">
        <f>IFERROR(AVERAGEIFS(Resultados!$H$2:$H$26,Resultados!$B$2:$B$26,A2),"")</f>
        <v/>
      </c>
      <c r="E2" s="13">
        <f>COUNTIFS(Resultados!$B$2:$B$26,A2,Resultados!$J$2:$J$26,"Válido")</f>
        <v/>
      </c>
      <c r="F2" s="13">
        <f>COUNTIFS(Resultados!$B$2:$B$26,A2,Resultados!$J$2:$J$26,"Revisar")</f>
        <v/>
      </c>
      <c r="G2" s="13">
        <f>COUNTIFS(Resultados!$B$2:$B$26,A2,Resultados!$J$2:$J$26,"Reformular")</f>
        <v/>
      </c>
    </row>
    <row r="3">
      <c r="A3" s="12" t="inlineStr">
        <is>
          <t>Instrumento 2A. Ficha de gestión: citas</t>
        </is>
      </c>
      <c r="B3" s="13">
        <f>COUNTIF(Resultados!$B$2:$B$26,A3)</f>
        <v/>
      </c>
      <c r="C3" s="13">
        <f>COUNTIFS(Resultados!$B$2:$B$26,A3,Resultados!$H$2:$H$26,"&gt;=0")</f>
        <v/>
      </c>
      <c r="D3" s="14">
        <f>IFERROR(AVERAGEIFS(Resultados!$H$2:$H$26,Resultados!$B$2:$B$26,A3),"")</f>
        <v/>
      </c>
      <c r="E3" s="13">
        <f>COUNTIFS(Resultados!$B$2:$B$26,A3,Resultados!$J$2:$J$26,"Válido")</f>
        <v/>
      </c>
      <c r="F3" s="13">
        <f>COUNTIFS(Resultados!$B$2:$B$26,A3,Resultados!$J$2:$J$26,"Revisar")</f>
        <v/>
      </c>
      <c r="G3" s="13">
        <f>COUNTIFS(Resultados!$B$2:$B$26,A3,Resultados!$J$2:$J$26,"Reformular")</f>
        <v/>
      </c>
    </row>
    <row r="4">
      <c r="A4" s="12" t="inlineStr">
        <is>
          <t>Instrumento 2B. Ficha de gestión: consultas</t>
        </is>
      </c>
      <c r="B4" s="13">
        <f>COUNTIF(Resultados!$B$2:$B$26,A4)</f>
        <v/>
      </c>
      <c r="C4" s="13">
        <f>COUNTIFS(Resultados!$B$2:$B$26,A4,Resultados!$H$2:$H$26,"&gt;=0")</f>
        <v/>
      </c>
      <c r="D4" s="14">
        <f>IFERROR(AVERAGEIFS(Resultados!$H$2:$H$26,Resultados!$B$2:$B$26,A4),"")</f>
        <v/>
      </c>
      <c r="E4" s="13">
        <f>COUNTIFS(Resultados!$B$2:$B$26,A4,Resultados!$J$2:$J$26,"Válido")</f>
        <v/>
      </c>
      <c r="F4" s="13">
        <f>COUNTIFS(Resultados!$B$2:$B$26,A4,Resultados!$J$2:$J$26,"Revisar")</f>
        <v/>
      </c>
      <c r="G4" s="13">
        <f>COUNTIFS(Resultados!$B$2:$B$26,A4,Resultados!$J$2:$J$26,"Reformular")</f>
        <v/>
      </c>
    </row>
    <row r="5">
      <c r="A5" s="12" t="inlineStr">
        <is>
          <t>Instrumento 3. Ficha de verificación (VI)</t>
        </is>
      </c>
      <c r="B5" s="13">
        <f>COUNTIF(Resultados!$B$2:$B$26,A5)</f>
        <v/>
      </c>
      <c r="C5" s="13">
        <f>COUNTIFS(Resultados!$B$2:$B$26,A5,Resultados!$H$2:$H$26,"&gt;=0")</f>
        <v/>
      </c>
      <c r="D5" s="14">
        <f>IFERROR(AVERAGEIFS(Resultados!$H$2:$H$26,Resultados!$B$2:$B$26,A5),"")</f>
        <v/>
      </c>
      <c r="E5" s="13">
        <f>COUNTIFS(Resultados!$B$2:$B$26,A5,Resultados!$J$2:$J$26,"Válido")</f>
        <v/>
      </c>
      <c r="F5" s="13">
        <f>COUNTIFS(Resultados!$B$2:$B$26,A5,Resultados!$J$2:$J$26,"Revisar")</f>
        <v/>
      </c>
      <c r="G5" s="13">
        <f>COUNTIFS(Resultados!$B$2:$B$26,A5,Resultados!$J$2:$J$26,"Reformular")</f>
        <v/>
      </c>
    </row>
    <row r="7">
      <c r="A7" s="4" t="inlineStr">
        <is>
          <t>Opinión de aplicabilidad</t>
        </is>
      </c>
    </row>
    <row r="8">
      <c r="A8" t="inlineStr">
        <is>
          <t>Juez 1</t>
        </is>
      </c>
      <c r="B8" s="15">
        <f>IF(Juez1!B2="","",Juez1!B2)</f>
        <v/>
      </c>
      <c r="D8" s="15">
        <f>IF(Juez1!B11="","",Juez1!B11)</f>
        <v/>
      </c>
    </row>
    <row r="9">
      <c r="A9" t="inlineStr">
        <is>
          <t>Juez 2</t>
        </is>
      </c>
      <c r="B9" s="15">
        <f>IF(Juez2!B2="","",Juez2!B2)</f>
        <v/>
      </c>
      <c r="D9" s="15">
        <f>IF(Juez2!B11="","",Juez2!B11)</f>
        <v/>
      </c>
    </row>
    <row r="10">
      <c r="A10" t="inlineStr">
        <is>
          <t>Juez 3</t>
        </is>
      </c>
      <c r="B10" s="15">
        <f>IF(Juez3!B2="","",Juez3!B2)</f>
        <v/>
      </c>
      <c r="D10" s="15">
        <f>IF(Juez3!B11="","",Juez3!B11)</f>
        <v/>
      </c>
    </row>
    <row r="12">
      <c r="A12" s="16" t="inlineStr">
        <is>
          <t>Referencias: Aiken, L. R. (1985), Educ. Psychol. Meas., 45(1), 131–142; Escobar-Pérez y Cuervo-Martínez (2008), Av. Medición, 6, 27–36.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2026-09-26T21:46:57Z</dcterms:created>
  <dcterms:modified xmlns:dcterms="http://purl.org/dc/terms/" xmlns:xsi="http://www.w3.org/2001/XMLSchema-instance" xsi:type="dcterms:W3CDTF">2026-09-26T21:46:57Z</dcterms:modified>
</cp:coreProperties>
</file>