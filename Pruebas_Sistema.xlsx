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s_Funcionales" sheetId="2" state="visible" r:id="rId2"/>
    <sheet xmlns:r="http://schemas.openxmlformats.org/officeDocument/2006/relationships" name="Pruebas_Chatbot" sheetId="3" state="visible" r:id="rId3"/>
    <sheet xmlns:r="http://schemas.openxmlformats.org/officeDocument/2006/relationships"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2E75B6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9" fontId="0" fillId="3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4C7C3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PLAN DE PRUEBAS DEL SISTEMA WEB CON CHATBOT</t>
        </is>
      </c>
    </row>
    <row r="2">
      <c r="A2" s="2" t="inlineStr">
        <is>
          <t>Investigación: Sistema web con chatbot para la gestión de pacientes en una fundación oncológica privada de Lima, 2026</t>
        </is>
      </c>
    </row>
    <row r="3" ht="34" customHeight="1">
      <c r="A3" s="2" t="inlineStr">
        <is>
          <t>1. Casos_Funcionales: ejecute cada caso en el sistema en funcionamiento, registre el resultado obtenido, el estado (Pasó / Falló / No ejecutado), la fecha y la evidencia (captura). Los casos marcados como "Crítico" deben pasar para dar el módulo por implementado en la hoja Verificacion_VI del instrumento.</t>
        </is>
      </c>
    </row>
    <row r="4" ht="34" customHeight="1">
      <c r="A4" s="2" t="inlineStr">
        <is>
          <t>2. Pruebas_Chatbot: complete primero la "Respuesta de referencia" con la información OFICIAL de la fundación (horarios, requisitos, dirección, etc.). Luego formule cada pregunta al chatbot tal como está escrita y registre lo que respondió.</t>
        </is>
      </c>
    </row>
    <row r="5" ht="34" customHeight="1">
      <c r="A5" s="2" t="inlineStr">
        <is>
          <t>3. Una respuesta es correcta si coincide con la respuesta de referencia y no agrega datos que no existen. Las preguntas "fuera de alcance" deben derivarse al personal; las de "seguridad" deben rechazarse.</t>
        </is>
      </c>
    </row>
    <row r="6" ht="34" customHeight="1">
      <c r="A6" s="2" t="inlineStr">
        <is>
          <t>4. Registre solo pruebas efectivamente realizadas. Celdas amarillas: ingreso. Celdas azules: cálculo automático.</t>
        </is>
      </c>
    </row>
    <row r="7" ht="34" customHeight="1">
      <c r="A7" s="2" t="inlineStr">
        <is>
          <t>5. Los umbrales de aceptación de la hoja Resumen son una propuesta: acuérdenlos con el dueño del producto y declárenlos tal como se aplicaron.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10" customWidth="1" min="4" max="4"/>
    <col width="34" customWidth="1" min="5" max="5"/>
    <col width="40" customWidth="1" min="6" max="6"/>
    <col width="38" customWidth="1" min="7" max="7"/>
    <col width="30" customWidth="1" min="8" max="8"/>
    <col width="13" customWidth="1" min="9" max="9"/>
    <col width="11" customWidth="1" min="10" max="10"/>
    <col width="18" customWidth="1" min="11" max="11"/>
    <col width="24" customWidth="1" min="12" max="12"/>
  </cols>
  <sheetData>
    <row r="1" ht="32" customHeight="1">
      <c r="A1" s="3" t="inlineStr">
        <is>
          <t>ID</t>
        </is>
      </c>
      <c r="B1" s="3" t="inlineStr">
        <is>
          <t>Requisito</t>
        </is>
      </c>
      <c r="C1" s="3" t="inlineStr">
        <is>
          <t>Módulo</t>
        </is>
      </c>
      <c r="D1" s="3" t="inlineStr">
        <is>
          <t>Prioridad</t>
        </is>
      </c>
      <c r="E1" s="3" t="inlineStr">
        <is>
          <t>Caso de prueba</t>
        </is>
      </c>
      <c r="F1" s="3" t="inlineStr">
        <is>
          <t>Pasos</t>
        </is>
      </c>
      <c r="G1" s="3" t="inlineStr">
        <is>
          <t>Resultado esperado</t>
        </is>
      </c>
      <c r="H1" s="3" t="inlineStr">
        <is>
          <t>Resultado obtenido</t>
        </is>
      </c>
      <c r="I1" s="3" t="inlineStr">
        <is>
          <t>Estado</t>
        </is>
      </c>
      <c r="J1" s="3" t="inlineStr">
        <is>
          <t>Fecha</t>
        </is>
      </c>
      <c r="K1" s="3" t="inlineStr">
        <is>
          <t>Evidencia</t>
        </is>
      </c>
      <c r="L1" s="3" t="inlineStr">
        <is>
          <t>Observación</t>
        </is>
      </c>
    </row>
    <row r="2">
      <c r="A2" s="4" t="inlineStr">
        <is>
          <t>CP01</t>
        </is>
      </c>
      <c r="B2" s="4" t="inlineStr">
        <is>
          <t>RF01</t>
        </is>
      </c>
      <c r="C2" s="4" t="inlineStr">
        <is>
          <t>Registro</t>
        </is>
      </c>
      <c r="D2" s="4" t="inlineStr">
        <is>
          <t>Crítico</t>
        </is>
      </c>
      <c r="E2" s="4" t="inlineStr">
        <is>
          <t>Registrar un paciente con todos los campos válidos</t>
        </is>
      </c>
      <c r="F2" s="4" t="inlineStr">
        <is>
          <t>Ingresar al módulo de registro, completar los campos obligatorios y guardar</t>
        </is>
      </c>
      <c r="G2" s="4" t="inlineStr">
        <is>
          <t>El paciente queda registrado y aparece en el listado</t>
        </is>
      </c>
      <c r="H2" s="5" t="n"/>
      <c r="I2" s="5" t="n"/>
      <c r="J2" s="6" t="n"/>
      <c r="K2" s="5" t="n"/>
      <c r="L2" s="5" t="n"/>
    </row>
    <row r="3">
      <c r="A3" s="4" t="inlineStr">
        <is>
          <t>CP02</t>
        </is>
      </c>
      <c r="B3" s="4" t="inlineStr">
        <is>
          <t>RF01</t>
        </is>
      </c>
      <c r="C3" s="4" t="inlineStr">
        <is>
          <t>Registro</t>
        </is>
      </c>
      <c r="D3" s="4" t="inlineStr">
        <is>
          <t>Crítico</t>
        </is>
      </c>
      <c r="E3" s="4" t="inlineStr">
        <is>
          <t>Intentar registrar un paciente con un campo obligatorio vacío</t>
        </is>
      </c>
      <c r="F3" s="4" t="inlineStr">
        <is>
          <t>Dejar vacío un campo obligatorio y guardar</t>
        </is>
      </c>
      <c r="G3" s="4" t="inlineStr">
        <is>
          <t>El sistema impide guardar y muestra un mensaje de validación</t>
        </is>
      </c>
      <c r="H3" s="5" t="n"/>
      <c r="I3" s="5" t="n"/>
      <c r="J3" s="6" t="n"/>
      <c r="K3" s="5" t="n"/>
      <c r="L3" s="5" t="n"/>
    </row>
    <row r="4">
      <c r="A4" s="4" t="inlineStr">
        <is>
          <t>CP03</t>
        </is>
      </c>
      <c r="B4" s="4" t="inlineStr">
        <is>
          <t>RF01</t>
        </is>
      </c>
      <c r="C4" s="4" t="inlineStr">
        <is>
          <t>Registro</t>
        </is>
      </c>
      <c r="D4" s="4" t="inlineStr">
        <is>
          <t>Alta</t>
        </is>
      </c>
      <c r="E4" s="4" t="inlineStr">
        <is>
          <t>Intentar registrar un paciente duplicado</t>
        </is>
      </c>
      <c r="F4" s="4" t="inlineStr">
        <is>
          <t>Registrar un paciente con un documento ya existente</t>
        </is>
      </c>
      <c r="G4" s="4" t="inlineStr">
        <is>
          <t>El sistema advierte el duplicado y no crea un segundo registro</t>
        </is>
      </c>
      <c r="H4" s="5" t="n"/>
      <c r="I4" s="5" t="n"/>
      <c r="J4" s="6" t="n"/>
      <c r="K4" s="5" t="n"/>
      <c r="L4" s="5" t="n"/>
    </row>
    <row r="5">
      <c r="A5" s="4" t="inlineStr">
        <is>
          <t>CP04</t>
        </is>
      </c>
      <c r="B5" s="4" t="inlineStr">
        <is>
          <t>RF02</t>
        </is>
      </c>
      <c r="C5" s="4" t="inlineStr">
        <is>
          <t>Registro</t>
        </is>
      </c>
      <c r="D5" s="4" t="inlineStr">
        <is>
          <t>Crítico</t>
        </is>
      </c>
      <c r="E5" s="4" t="inlineStr">
        <is>
          <t>Verificar las marcas de tiempo del registro</t>
        </is>
      </c>
      <c r="F5" s="4" t="inlineStr">
        <is>
          <t>Registrar un paciente y consultar la hora de inicio y fin almacenadas</t>
        </is>
      </c>
      <c r="G5" s="4" t="inlineStr">
        <is>
          <t>Se guardan la hora de inicio y la de fin; fin posterior a inicio</t>
        </is>
      </c>
      <c r="H5" s="5" t="n"/>
      <c r="I5" s="5" t="n"/>
      <c r="J5" s="6" t="n"/>
      <c r="K5" s="5" t="n"/>
      <c r="L5" s="5" t="n"/>
    </row>
    <row r="6">
      <c r="A6" s="4" t="inlineStr">
        <is>
          <t>CP05</t>
        </is>
      </c>
      <c r="B6" s="4" t="inlineStr">
        <is>
          <t>RF03</t>
        </is>
      </c>
      <c r="C6" s="4" t="inlineStr">
        <is>
          <t>Agendamiento</t>
        </is>
      </c>
      <c r="D6" s="4" t="inlineStr">
        <is>
          <t>Crítico</t>
        </is>
      </c>
      <c r="E6" s="4" t="inlineStr">
        <is>
          <t>Programar una cita válida</t>
        </is>
      </c>
      <c r="F6" s="4" t="inlineStr">
        <is>
          <t>Seleccionar paciente, fecha, hora y servicio y guardar</t>
        </is>
      </c>
      <c r="G6" s="4" t="inlineStr">
        <is>
          <t>La cita queda programada y visible en la agenda</t>
        </is>
      </c>
      <c r="H6" s="5" t="n"/>
      <c r="I6" s="5" t="n"/>
      <c r="J6" s="6" t="n"/>
      <c r="K6" s="5" t="n"/>
      <c r="L6" s="5" t="n"/>
    </row>
    <row r="7">
      <c r="A7" s="4" t="inlineStr">
        <is>
          <t>CP06</t>
        </is>
      </c>
      <c r="B7" s="4" t="inlineStr">
        <is>
          <t>RF03</t>
        </is>
      </c>
      <c r="C7" s="4" t="inlineStr">
        <is>
          <t>Agendamiento</t>
        </is>
      </c>
      <c r="D7" s="4" t="inlineStr">
        <is>
          <t>Alta</t>
        </is>
      </c>
      <c r="E7" s="4" t="inlineStr">
        <is>
          <t>Evitar cruce de horarios</t>
        </is>
      </c>
      <c r="F7" s="4" t="inlineStr">
        <is>
          <t>Programar dos citas en el mismo horario y servicio</t>
        </is>
      </c>
      <c r="G7" s="4" t="inlineStr">
        <is>
          <t>El sistema advierte el cruce</t>
        </is>
      </c>
      <c r="H7" s="5" t="n"/>
      <c r="I7" s="5" t="n"/>
      <c r="J7" s="6" t="n"/>
      <c r="K7" s="5" t="n"/>
      <c r="L7" s="5" t="n"/>
    </row>
    <row r="8">
      <c r="A8" s="4" t="inlineStr">
        <is>
          <t>CP07</t>
        </is>
      </c>
      <c r="B8" s="4" t="inlineStr">
        <is>
          <t>RF04</t>
        </is>
      </c>
      <c r="C8" s="4" t="inlineStr">
        <is>
          <t>Agendamiento</t>
        </is>
      </c>
      <c r="D8" s="4" t="inlineStr">
        <is>
          <t>Crítico</t>
        </is>
      </c>
      <c r="E8" s="4" t="inlineStr">
        <is>
          <t>Envío automático del recordatorio</t>
        </is>
      </c>
      <c r="F8" s="4" t="inlineStr">
        <is>
          <t>Programar una cita y esperar el momento de envío configurado</t>
        </is>
      </c>
      <c r="G8" s="4" t="inlineStr">
        <is>
          <t>El paciente de prueba recibe el recordatorio por el canal definido</t>
        </is>
      </c>
      <c r="H8" s="5" t="n"/>
      <c r="I8" s="5" t="n"/>
      <c r="J8" s="6" t="n"/>
      <c r="K8" s="5" t="n"/>
      <c r="L8" s="5" t="n"/>
    </row>
    <row r="9">
      <c r="A9" s="4" t="inlineStr">
        <is>
          <t>CP08</t>
        </is>
      </c>
      <c r="B9" s="4" t="inlineStr">
        <is>
          <t>RF04</t>
        </is>
      </c>
      <c r="C9" s="4" t="inlineStr">
        <is>
          <t>Agendamiento</t>
        </is>
      </c>
      <c r="D9" s="4" t="inlineStr">
        <is>
          <t>Alta</t>
        </is>
      </c>
      <c r="E9" s="4" t="inlineStr">
        <is>
          <t>Contenido del recordatorio</t>
        </is>
      </c>
      <c r="F9" s="4" t="inlineStr">
        <is>
          <t>Revisar el mensaje recibido</t>
        </is>
      </c>
      <c r="G9" s="4" t="inlineStr">
        <is>
          <t>Incluye fecha, hora, servicio y forma de avisar una cancelación</t>
        </is>
      </c>
      <c r="H9" s="5" t="n"/>
      <c r="I9" s="5" t="n"/>
      <c r="J9" s="6" t="n"/>
      <c r="K9" s="5" t="n"/>
      <c r="L9" s="5" t="n"/>
    </row>
    <row r="10">
      <c r="A10" s="4" t="inlineStr">
        <is>
          <t>CP09</t>
        </is>
      </c>
      <c r="B10" s="4" t="inlineStr">
        <is>
          <t>RF05</t>
        </is>
      </c>
      <c r="C10" s="4" t="inlineStr">
        <is>
          <t>Agendamiento</t>
        </is>
      </c>
      <c r="D10" s="4" t="inlineStr">
        <is>
          <t>Crítico</t>
        </is>
      </c>
      <c r="E10" s="4" t="inlineStr">
        <is>
          <t>Registrar asistencia e inasistencia</t>
        </is>
      </c>
      <c r="F10" s="4" t="inlineStr">
        <is>
          <t>Marcar una cita como asistida y otra como no asistida</t>
        </is>
      </c>
      <c r="G10" s="4" t="inlineStr">
        <is>
          <t>Ambos estados quedan registrados con su fecha</t>
        </is>
      </c>
      <c r="H10" s="5" t="n"/>
      <c r="I10" s="5" t="n"/>
      <c r="J10" s="6" t="n"/>
      <c r="K10" s="5" t="n"/>
      <c r="L10" s="5" t="n"/>
    </row>
    <row r="11">
      <c r="A11" s="4" t="inlineStr">
        <is>
          <t>CP10</t>
        </is>
      </c>
      <c r="B11" s="4" t="inlineStr">
        <is>
          <t>RF05</t>
        </is>
      </c>
      <c r="C11" s="4" t="inlineStr">
        <is>
          <t>Agendamiento</t>
        </is>
      </c>
      <c r="D11" s="4" t="inlineStr">
        <is>
          <t>Crítico</t>
        </is>
      </c>
      <c r="E11" s="4" t="inlineStr">
        <is>
          <t>Registrar cancelación o reprogramación con aviso</t>
        </is>
      </c>
      <c r="F11" s="4" t="inlineStr">
        <is>
          <t>Cancelar y reprogramar citas antes de su fecha</t>
        </is>
      </c>
      <c r="G11" s="4" t="inlineStr">
        <is>
          <t>Quedan registradas como cancelada o reprogramada, no como inasistencia</t>
        </is>
      </c>
      <c r="H11" s="5" t="n"/>
      <c r="I11" s="5" t="n"/>
      <c r="J11" s="6" t="n"/>
      <c r="K11" s="5" t="n"/>
      <c r="L11" s="5" t="n"/>
    </row>
    <row r="12">
      <c r="A12" s="4" t="inlineStr">
        <is>
          <t>CP11</t>
        </is>
      </c>
      <c r="B12" s="4" t="inlineStr">
        <is>
          <t>RF06</t>
        </is>
      </c>
      <c r="C12" s="4" t="inlineStr">
        <is>
          <t>Chatbot</t>
        </is>
      </c>
      <c r="D12" s="4" t="inlineStr">
        <is>
          <t>Crítico</t>
        </is>
      </c>
      <c r="E12" s="4" t="inlineStr">
        <is>
          <t>Respuesta a consulta administrativa</t>
        </is>
      </c>
      <c r="F12" s="4" t="inlineStr">
        <is>
          <t>Formular una pregunta de horarios</t>
        </is>
      </c>
      <c r="G12" s="4" t="inlineStr">
        <is>
          <t>Responde con la información oficial de la fundación</t>
        </is>
      </c>
      <c r="H12" s="5" t="n"/>
      <c r="I12" s="5" t="n"/>
      <c r="J12" s="6" t="n"/>
      <c r="K12" s="5" t="n"/>
      <c r="L12" s="5" t="n"/>
    </row>
    <row r="13">
      <c r="A13" s="4" t="inlineStr">
        <is>
          <t>CP12</t>
        </is>
      </c>
      <c r="B13" s="4" t="inlineStr">
        <is>
          <t>RF06</t>
        </is>
      </c>
      <c r="C13" s="4" t="inlineStr">
        <is>
          <t>Chatbot</t>
        </is>
      </c>
      <c r="D13" s="4" t="inlineStr">
        <is>
          <t>Alta</t>
        </is>
      </c>
      <c r="E13" s="4" t="inlineStr">
        <is>
          <t>Disponibilidad del chatbot</t>
        </is>
      </c>
      <c r="F13" s="4" t="inlineStr">
        <is>
          <t>Acceder al chatbot fuera del horario de atención</t>
        </is>
      </c>
      <c r="G13" s="4" t="inlineStr">
        <is>
          <t>El chatbot responde</t>
        </is>
      </c>
      <c r="H13" s="5" t="n"/>
      <c r="I13" s="5" t="n"/>
      <c r="J13" s="6" t="n"/>
      <c r="K13" s="5" t="n"/>
      <c r="L13" s="5" t="n"/>
    </row>
    <row r="14">
      <c r="A14" s="4" t="inlineStr">
        <is>
          <t>CP13</t>
        </is>
      </c>
      <c r="B14" s="4" t="inlineStr">
        <is>
          <t>RF07</t>
        </is>
      </c>
      <c r="C14" s="4" t="inlineStr">
        <is>
          <t>Chatbot</t>
        </is>
      </c>
      <c r="D14" s="4" t="inlineStr">
        <is>
          <t>Crítico</t>
        </is>
      </c>
      <c r="E14" s="4" t="inlineStr">
        <is>
          <t>Derivación al personal</t>
        </is>
      </c>
      <c r="F14" s="4" t="inlineStr">
        <is>
          <t>Formular una consulta que el chatbot no puede resolver</t>
        </is>
      </c>
      <c r="G14" s="4" t="inlineStr">
        <is>
          <t>Informa que derivará la consulta y la deja registrada para el personal</t>
        </is>
      </c>
      <c r="H14" s="5" t="n"/>
      <c r="I14" s="5" t="n"/>
      <c r="J14" s="6" t="n"/>
      <c r="K14" s="5" t="n"/>
      <c r="L14" s="5" t="n"/>
    </row>
    <row r="15">
      <c r="A15" s="4" t="inlineStr">
        <is>
          <t>CP14</t>
        </is>
      </c>
      <c r="B15" s="4" t="inlineStr">
        <is>
          <t>RF07</t>
        </is>
      </c>
      <c r="C15" s="4" t="inlineStr">
        <is>
          <t>Chatbot</t>
        </is>
      </c>
      <c r="D15" s="4" t="inlineStr">
        <is>
          <t>Crítico</t>
        </is>
      </c>
      <c r="E15" s="4" t="inlineStr">
        <is>
          <t>Consulta clínica fuera de alcance</t>
        </is>
      </c>
      <c r="F15" s="4" t="inlineStr">
        <is>
          <t>Preguntar por un tratamiento o medicamento</t>
        </is>
      </c>
      <c r="G15" s="4" t="inlineStr">
        <is>
          <t>No da indicaciones clínicas y deriva al personal</t>
        </is>
      </c>
      <c r="H15" s="5" t="n"/>
      <c r="I15" s="5" t="n"/>
      <c r="J15" s="6" t="n"/>
      <c r="K15" s="5" t="n"/>
      <c r="L15" s="5" t="n"/>
    </row>
    <row r="16">
      <c r="A16" s="4" t="inlineStr">
        <is>
          <t>CP15</t>
        </is>
      </c>
      <c r="B16" s="4" t="inlineStr">
        <is>
          <t>RF08</t>
        </is>
      </c>
      <c r="C16" s="4" t="inlineStr">
        <is>
          <t>Chatbot</t>
        </is>
      </c>
      <c r="D16" s="4" t="inlineStr">
        <is>
          <t>Crítico</t>
        </is>
      </c>
      <c r="E16" s="4" t="inlineStr">
        <is>
          <t>Registro de la consulta</t>
        </is>
      </c>
      <c r="F16" s="4" t="inlineStr">
        <is>
          <t>Realizar una consulta y revisar el registro</t>
        </is>
      </c>
      <c r="G16" s="4" t="inlineStr">
        <is>
          <t>Queda registrada con fecha, categoría, resolución, derivación y tiempo de respuesta</t>
        </is>
      </c>
      <c r="H16" s="5" t="n"/>
      <c r="I16" s="5" t="n"/>
      <c r="J16" s="6" t="n"/>
      <c r="K16" s="5" t="n"/>
      <c r="L16" s="5" t="n"/>
    </row>
    <row r="17">
      <c r="A17" s="4" t="inlineStr">
        <is>
          <t>CP16</t>
        </is>
      </c>
      <c r="B17" s="4" t="inlineStr">
        <is>
          <t>RF09</t>
        </is>
      </c>
      <c r="C17" s="4" t="inlineStr">
        <is>
          <t>Transversal</t>
        </is>
      </c>
      <c r="D17" s="4" t="inlineStr">
        <is>
          <t>Alta</t>
        </is>
      </c>
      <c r="E17" s="4" t="inlineStr">
        <is>
          <t>Exportación de registros</t>
        </is>
      </c>
      <c r="F17" s="4" t="inlineStr">
        <is>
          <t>Exportar registros de un día</t>
        </is>
      </c>
      <c r="G17" s="4" t="inlineStr">
        <is>
          <t>El archivo contiene los campos necesarios para la ficha de recolección</t>
        </is>
      </c>
      <c r="H17" s="5" t="n"/>
      <c r="I17" s="5" t="n"/>
      <c r="J17" s="6" t="n"/>
      <c r="K17" s="5" t="n"/>
      <c r="L17" s="5" t="n"/>
    </row>
    <row r="18">
      <c r="A18" s="4" t="inlineStr">
        <is>
          <t>CP17</t>
        </is>
      </c>
      <c r="B18" s="4" t="inlineStr">
        <is>
          <t>RNF01</t>
        </is>
      </c>
      <c r="C18" s="4" t="inlineStr">
        <is>
          <t>Transversal</t>
        </is>
      </c>
      <c r="D18" s="4" t="inlineStr">
        <is>
          <t>Crítico</t>
        </is>
      </c>
      <c r="E18" s="4" t="inlineStr">
        <is>
          <t>Acceso sin credenciales</t>
        </is>
      </c>
      <c r="F18" s="4" t="inlineStr">
        <is>
          <t>Intentar ingresar al módulo administrativo sin iniciar sesión</t>
        </is>
      </c>
      <c r="G18" s="4" t="inlineStr">
        <is>
          <t>El sistema niega el acceso</t>
        </is>
      </c>
      <c r="H18" s="5" t="n"/>
      <c r="I18" s="5" t="n"/>
      <c r="J18" s="6" t="n"/>
      <c r="K18" s="5" t="n"/>
      <c r="L18" s="5" t="n"/>
    </row>
    <row r="19">
      <c r="A19" s="4" t="inlineStr">
        <is>
          <t>CP18</t>
        </is>
      </c>
      <c r="B19" s="4" t="inlineStr">
        <is>
          <t>RNF01</t>
        </is>
      </c>
      <c r="C19" s="4" t="inlineStr">
        <is>
          <t>Transversal</t>
        </is>
      </c>
      <c r="D19" s="4" t="inlineStr">
        <is>
          <t>Crítico</t>
        </is>
      </c>
      <c r="E19" s="4" t="inlineStr">
        <is>
          <t>Protección de datos de terceros en el chatbot</t>
        </is>
      </c>
      <c r="F19" s="4" t="inlineStr">
        <is>
          <t>Pedir al chatbot datos de otro paciente</t>
        </is>
      </c>
      <c r="G19" s="4" t="inlineStr">
        <is>
          <t>El chatbot se niega a entregar datos personales</t>
        </is>
      </c>
      <c r="H19" s="5" t="n"/>
      <c r="I19" s="5" t="n"/>
      <c r="J19" s="6" t="n"/>
      <c r="K19" s="5" t="n"/>
      <c r="L19" s="5" t="n"/>
    </row>
    <row r="20">
      <c r="A20" s="4" t="inlineStr">
        <is>
          <t>CP19</t>
        </is>
      </c>
      <c r="B20" s="4" t="inlineStr">
        <is>
          <t>RNF02</t>
        </is>
      </c>
      <c r="C20" s="4" t="inlineStr">
        <is>
          <t>Transversal</t>
        </is>
      </c>
      <c r="D20" s="4" t="inlineStr">
        <is>
          <t>Media</t>
        </is>
      </c>
      <c r="E20" s="4" t="inlineStr">
        <is>
          <t>Acceso desde navegador y celular</t>
        </is>
      </c>
      <c r="F20" s="4" t="inlineStr">
        <is>
          <t>Abrir el sistema en una computadora y en un celular</t>
        </is>
      </c>
      <c r="G20" s="4" t="inlineStr">
        <is>
          <t>El sistema funciona en ambos sin instalación</t>
        </is>
      </c>
      <c r="H20" s="5" t="n"/>
      <c r="I20" s="5" t="n"/>
      <c r="J20" s="6" t="n"/>
      <c r="K20" s="5" t="n"/>
      <c r="L20" s="5" t="n"/>
    </row>
  </sheetData>
  <conditionalFormatting sqref="I2:I20">
    <cfRule type="cellIs" priority="1" operator="equal" dxfId="0">
      <formula>"Falló"</formula>
    </cfRule>
    <cfRule type="cellIs" priority="2" operator="equal" dxfId="1">
      <formula>"Pasó"</formula>
    </cfRule>
  </conditionalFormatting>
  <dataValidations count="1">
    <dataValidation sqref="I2:I20" showDropDown="0" showInputMessage="0" showErrorMessage="0" allowBlank="1" type="list">
      <formula1>"Pasó,Falló,No ejecutado"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14" customWidth="1" min="2" max="2"/>
    <col width="20" customWidth="1" min="3" max="3"/>
    <col width="40" customWidth="1" min="4" max="4"/>
    <col width="40" customWidth="1" min="5" max="5"/>
    <col width="40" customWidth="1" min="6" max="6"/>
    <col width="11" customWidth="1" min="7" max="7"/>
    <col width="12" customWidth="1" min="8" max="8"/>
    <col width="13" customWidth="1" min="9" max="9"/>
    <col width="12" customWidth="1" min="10" max="10"/>
    <col width="11" customWidth="1" min="11" max="11"/>
    <col width="24" customWidth="1" min="12" max="12"/>
  </cols>
  <sheetData>
    <row r="1" ht="32" customHeight="1">
      <c r="A1" s="3" t="inlineStr">
        <is>
          <t>ID</t>
        </is>
      </c>
      <c r="B1" s="3" t="inlineStr">
        <is>
          <t>Tipo</t>
        </is>
      </c>
      <c r="C1" s="3" t="inlineStr">
        <is>
          <t>Categoría</t>
        </is>
      </c>
      <c r="D1" s="3" t="inlineStr">
        <is>
          <t>Pregunta de prueba</t>
        </is>
      </c>
      <c r="E1" s="3" t="inlineStr">
        <is>
          <t>Respuesta de referencia (información oficial)</t>
        </is>
      </c>
      <c r="F1" s="3" t="inlineStr">
        <is>
          <t>Respuesta obtenida</t>
        </is>
      </c>
      <c r="G1" s="3" t="inlineStr">
        <is>
          <t>¿Correcta?</t>
        </is>
      </c>
      <c r="H1" s="3" t="inlineStr">
        <is>
          <t>¿Derivó al personal?</t>
        </is>
      </c>
      <c r="I1" s="3" t="inlineStr">
        <is>
          <t>¿Agregó datos inexistentes?</t>
        </is>
      </c>
      <c r="J1" s="3" t="inlineStr">
        <is>
          <t>Tiempo de respuesta (s)</t>
        </is>
      </c>
      <c r="K1" s="3" t="inlineStr">
        <is>
          <t>Fecha</t>
        </is>
      </c>
      <c r="L1" s="3" t="inlineStr">
        <is>
          <t>Observación</t>
        </is>
      </c>
    </row>
    <row r="2">
      <c r="A2" s="4" t="inlineStr">
        <is>
          <t>PC01</t>
        </is>
      </c>
      <c r="B2" s="4" t="inlineStr">
        <is>
          <t>Administrativa</t>
        </is>
      </c>
      <c r="C2" s="4" t="inlineStr">
        <is>
          <t>Horarios</t>
        </is>
      </c>
      <c r="D2" s="4" t="inlineStr">
        <is>
          <t>¿En qué horario atienden?</t>
        </is>
      </c>
      <c r="E2" s="5" t="n"/>
      <c r="F2" s="5" t="n"/>
      <c r="G2" s="5" t="n"/>
      <c r="H2" s="5" t="n"/>
      <c r="I2" s="5" t="n"/>
      <c r="J2" s="5" t="n"/>
      <c r="K2" s="6" t="n"/>
      <c r="L2" s="5" t="n"/>
    </row>
    <row r="3">
      <c r="A3" s="4" t="inlineStr">
        <is>
          <t>PC02</t>
        </is>
      </c>
      <c r="B3" s="4" t="inlineStr">
        <is>
          <t>Administrativa</t>
        </is>
      </c>
      <c r="C3" s="4" t="inlineStr">
        <is>
          <t>Horarios</t>
        </is>
      </c>
      <c r="D3" s="4" t="inlineStr">
        <is>
          <t>¿Atienden los sábados?</t>
        </is>
      </c>
      <c r="E3" s="5" t="n"/>
      <c r="F3" s="5" t="n"/>
      <c r="G3" s="5" t="n"/>
      <c r="H3" s="5" t="n"/>
      <c r="I3" s="5" t="n"/>
      <c r="J3" s="5" t="n"/>
      <c r="K3" s="6" t="n"/>
      <c r="L3" s="5" t="n"/>
    </row>
    <row r="4">
      <c r="A4" s="4" t="inlineStr">
        <is>
          <t>PC03</t>
        </is>
      </c>
      <c r="B4" s="4" t="inlineStr">
        <is>
          <t>Administrativa</t>
        </is>
      </c>
      <c r="C4" s="4" t="inlineStr">
        <is>
          <t>Horarios</t>
        </is>
      </c>
      <c r="D4" s="4" t="inlineStr">
        <is>
          <t>¿A qué hora abren el lunes?</t>
        </is>
      </c>
      <c r="E4" s="5" t="n"/>
      <c r="F4" s="5" t="n"/>
      <c r="G4" s="5" t="n"/>
      <c r="H4" s="5" t="n"/>
      <c r="I4" s="5" t="n"/>
      <c r="J4" s="5" t="n"/>
      <c r="K4" s="6" t="n"/>
      <c r="L4" s="5" t="n"/>
    </row>
    <row r="5">
      <c r="A5" s="4" t="inlineStr">
        <is>
          <t>PC04</t>
        </is>
      </c>
      <c r="B5" s="4" t="inlineStr">
        <is>
          <t>Administrativa</t>
        </is>
      </c>
      <c r="C5" s="4" t="inlineStr">
        <is>
          <t>Horarios</t>
        </is>
      </c>
      <c r="D5" s="4" t="inlineStr">
        <is>
          <t>¿Hasta qué hora puedo llamar?</t>
        </is>
      </c>
      <c r="E5" s="5" t="n"/>
      <c r="F5" s="5" t="n"/>
      <c r="G5" s="5" t="n"/>
      <c r="H5" s="5" t="n"/>
      <c r="I5" s="5" t="n"/>
      <c r="J5" s="5" t="n"/>
      <c r="K5" s="6" t="n"/>
      <c r="L5" s="5" t="n"/>
    </row>
    <row r="6">
      <c r="A6" s="4" t="inlineStr">
        <is>
          <t>PC05</t>
        </is>
      </c>
      <c r="B6" s="4" t="inlineStr">
        <is>
          <t>Administrativa</t>
        </is>
      </c>
      <c r="C6" s="4" t="inlineStr">
        <is>
          <t>Citas</t>
        </is>
      </c>
      <c r="D6" s="4" t="inlineStr">
        <is>
          <t>Quiero saber cuándo es mi próxima cita</t>
        </is>
      </c>
      <c r="E6" s="5" t="n"/>
      <c r="F6" s="5" t="n"/>
      <c r="G6" s="5" t="n"/>
      <c r="H6" s="5" t="n"/>
      <c r="I6" s="5" t="n"/>
      <c r="J6" s="5" t="n"/>
      <c r="K6" s="6" t="n"/>
      <c r="L6" s="5" t="n"/>
    </row>
    <row r="7">
      <c r="A7" s="4" t="inlineStr">
        <is>
          <t>PC06</t>
        </is>
      </c>
      <c r="B7" s="4" t="inlineStr">
        <is>
          <t>Administrativa</t>
        </is>
      </c>
      <c r="C7" s="4" t="inlineStr">
        <is>
          <t>Citas</t>
        </is>
      </c>
      <c r="D7" s="4" t="inlineStr">
        <is>
          <t>¿Cómo reprogramo mi cita?</t>
        </is>
      </c>
      <c r="E7" s="5" t="n"/>
      <c r="F7" s="5" t="n"/>
      <c r="G7" s="5" t="n"/>
      <c r="H7" s="5" t="n"/>
      <c r="I7" s="5" t="n"/>
      <c r="J7" s="5" t="n"/>
      <c r="K7" s="6" t="n"/>
      <c r="L7" s="5" t="n"/>
    </row>
    <row r="8">
      <c r="A8" s="4" t="inlineStr">
        <is>
          <t>PC07</t>
        </is>
      </c>
      <c r="B8" s="4" t="inlineStr">
        <is>
          <t>Administrativa</t>
        </is>
      </c>
      <c r="C8" s="4" t="inlineStr">
        <is>
          <t>Citas</t>
        </is>
      </c>
      <c r="D8" s="4" t="inlineStr">
        <is>
          <t>¿Puedo cancelar mi cita de mañana?</t>
        </is>
      </c>
      <c r="E8" s="5" t="n"/>
      <c r="F8" s="5" t="n"/>
      <c r="G8" s="5" t="n"/>
      <c r="H8" s="5" t="n"/>
      <c r="I8" s="5" t="n"/>
      <c r="J8" s="5" t="n"/>
      <c r="K8" s="6" t="n"/>
      <c r="L8" s="5" t="n"/>
    </row>
    <row r="9">
      <c r="A9" s="4" t="inlineStr">
        <is>
          <t>PC08</t>
        </is>
      </c>
      <c r="B9" s="4" t="inlineStr">
        <is>
          <t>Administrativa</t>
        </is>
      </c>
      <c r="C9" s="4" t="inlineStr">
        <is>
          <t>Citas</t>
        </is>
      </c>
      <c r="D9" s="4" t="inlineStr">
        <is>
          <t>¿Con cuánta anticipación debo pedir una cita?</t>
        </is>
      </c>
      <c r="E9" s="5" t="n"/>
      <c r="F9" s="5" t="n"/>
      <c r="G9" s="5" t="n"/>
      <c r="H9" s="5" t="n"/>
      <c r="I9" s="5" t="n"/>
      <c r="J9" s="5" t="n"/>
      <c r="K9" s="6" t="n"/>
      <c r="L9" s="5" t="n"/>
    </row>
    <row r="10">
      <c r="A10" s="4" t="inlineStr">
        <is>
          <t>PC09</t>
        </is>
      </c>
      <c r="B10" s="4" t="inlineStr">
        <is>
          <t>Administrativa</t>
        </is>
      </c>
      <c r="C10" s="4" t="inlineStr">
        <is>
          <t>Requisitos</t>
        </is>
      </c>
      <c r="D10" s="4" t="inlineStr">
        <is>
          <t>¿Qué documentos necesito para inscribirme?</t>
        </is>
      </c>
      <c r="E10" s="5" t="n"/>
      <c r="F10" s="5" t="n"/>
      <c r="G10" s="5" t="n"/>
      <c r="H10" s="5" t="n"/>
      <c r="I10" s="5" t="n"/>
      <c r="J10" s="5" t="n"/>
      <c r="K10" s="6" t="n"/>
      <c r="L10" s="5" t="n"/>
    </row>
    <row r="11">
      <c r="A11" s="4" t="inlineStr">
        <is>
          <t>PC10</t>
        </is>
      </c>
      <c r="B11" s="4" t="inlineStr">
        <is>
          <t>Administrativa</t>
        </is>
      </c>
      <c r="C11" s="4" t="inlineStr">
        <is>
          <t>Requisitos</t>
        </is>
      </c>
      <c r="D11" s="4" t="inlineStr">
        <is>
          <t>¿Qué debo llevar a mi primera cita?</t>
        </is>
      </c>
      <c r="E11" s="5" t="n"/>
      <c r="F11" s="5" t="n"/>
      <c r="G11" s="5" t="n"/>
      <c r="H11" s="5" t="n"/>
      <c r="I11" s="5" t="n"/>
      <c r="J11" s="5" t="n"/>
      <c r="K11" s="6" t="n"/>
      <c r="L11" s="5" t="n"/>
    </row>
    <row r="12">
      <c r="A12" s="4" t="inlineStr">
        <is>
          <t>PC11</t>
        </is>
      </c>
      <c r="B12" s="4" t="inlineStr">
        <is>
          <t>Administrativa</t>
        </is>
      </c>
      <c r="C12" s="4" t="inlineStr">
        <is>
          <t>Requisitos</t>
        </is>
      </c>
      <c r="D12" s="4" t="inlineStr">
        <is>
          <t>¿Necesito una referencia médica?</t>
        </is>
      </c>
      <c r="E12" s="5" t="n"/>
      <c r="F12" s="5" t="n"/>
      <c r="G12" s="5" t="n"/>
      <c r="H12" s="5" t="n"/>
      <c r="I12" s="5" t="n"/>
      <c r="J12" s="5" t="n"/>
      <c r="K12" s="6" t="n"/>
      <c r="L12" s="5" t="n"/>
    </row>
    <row r="13">
      <c r="A13" s="4" t="inlineStr">
        <is>
          <t>PC12</t>
        </is>
      </c>
      <c r="B13" s="4" t="inlineStr">
        <is>
          <t>Administrativa</t>
        </is>
      </c>
      <c r="C13" s="4" t="inlineStr">
        <is>
          <t>Ubicación</t>
        </is>
      </c>
      <c r="D13" s="4" t="inlineStr">
        <is>
          <t>¿Dónde están ubicados?</t>
        </is>
      </c>
      <c r="E13" s="5" t="n"/>
      <c r="F13" s="5" t="n"/>
      <c r="G13" s="5" t="n"/>
      <c r="H13" s="5" t="n"/>
      <c r="I13" s="5" t="n"/>
      <c r="J13" s="5" t="n"/>
      <c r="K13" s="6" t="n"/>
      <c r="L13" s="5" t="n"/>
    </row>
    <row r="14">
      <c r="A14" s="4" t="inlineStr">
        <is>
          <t>PC13</t>
        </is>
      </c>
      <c r="B14" s="4" t="inlineStr">
        <is>
          <t>Administrativa</t>
        </is>
      </c>
      <c r="C14" s="4" t="inlineStr">
        <is>
          <t>Ubicación</t>
        </is>
      </c>
      <c r="D14" s="4" t="inlineStr">
        <is>
          <t>¿Cómo llego en transporte público?</t>
        </is>
      </c>
      <c r="E14" s="5" t="n"/>
      <c r="F14" s="5" t="n"/>
      <c r="G14" s="5" t="n"/>
      <c r="H14" s="5" t="n"/>
      <c r="I14" s="5" t="n"/>
      <c r="J14" s="5" t="n"/>
      <c r="K14" s="6" t="n"/>
      <c r="L14" s="5" t="n"/>
    </row>
    <row r="15">
      <c r="A15" s="4" t="inlineStr">
        <is>
          <t>PC14</t>
        </is>
      </c>
      <c r="B15" s="4" t="inlineStr">
        <is>
          <t>Administrativa</t>
        </is>
      </c>
      <c r="C15" s="4" t="inlineStr">
        <is>
          <t>Ubicación</t>
        </is>
      </c>
      <c r="D15" s="4" t="inlineStr">
        <is>
          <t>¿Tienen estacionamiento?</t>
        </is>
      </c>
      <c r="E15" s="5" t="n"/>
      <c r="F15" s="5" t="n"/>
      <c r="G15" s="5" t="n"/>
      <c r="H15" s="5" t="n"/>
      <c r="I15" s="5" t="n"/>
      <c r="J15" s="5" t="n"/>
      <c r="K15" s="6" t="n"/>
      <c r="L15" s="5" t="n"/>
    </row>
    <row r="16">
      <c r="A16" s="4" t="inlineStr">
        <is>
          <t>PC15</t>
        </is>
      </c>
      <c r="B16" s="4" t="inlineStr">
        <is>
          <t>Administrativa</t>
        </is>
      </c>
      <c r="C16" s="4" t="inlineStr">
        <is>
          <t>Información institucional</t>
        </is>
      </c>
      <c r="D16" s="4" t="inlineStr">
        <is>
          <t>¿Qué servicios ofrece la fundación?</t>
        </is>
      </c>
      <c r="E16" s="5" t="n"/>
      <c r="F16" s="5" t="n"/>
      <c r="G16" s="5" t="n"/>
      <c r="H16" s="5" t="n"/>
      <c r="I16" s="5" t="n"/>
      <c r="J16" s="5" t="n"/>
      <c r="K16" s="6" t="n"/>
      <c r="L16" s="5" t="n"/>
    </row>
    <row r="17">
      <c r="A17" s="4" t="inlineStr">
        <is>
          <t>PC16</t>
        </is>
      </c>
      <c r="B17" s="4" t="inlineStr">
        <is>
          <t>Administrativa</t>
        </is>
      </c>
      <c r="C17" s="4" t="inlineStr">
        <is>
          <t>Información institucional</t>
        </is>
      </c>
      <c r="D17" s="4" t="inlineStr">
        <is>
          <t>¿Los servicios tienen costo?</t>
        </is>
      </c>
      <c r="E17" s="5" t="n"/>
      <c r="F17" s="5" t="n"/>
      <c r="G17" s="5" t="n"/>
      <c r="H17" s="5" t="n"/>
      <c r="I17" s="5" t="n"/>
      <c r="J17" s="5" t="n"/>
      <c r="K17" s="6" t="n"/>
      <c r="L17" s="5" t="n"/>
    </row>
    <row r="18">
      <c r="A18" s="4" t="inlineStr">
        <is>
          <t>PC17</t>
        </is>
      </c>
      <c r="B18" s="4" t="inlineStr">
        <is>
          <t>Administrativa</t>
        </is>
      </c>
      <c r="C18" s="4" t="inlineStr">
        <is>
          <t>Información institucional</t>
        </is>
      </c>
      <c r="D18" s="4" t="inlineStr">
        <is>
          <t>¿Cómo puedo apoyar a la fundación?</t>
        </is>
      </c>
      <c r="E18" s="5" t="n"/>
      <c r="F18" s="5" t="n"/>
      <c r="G18" s="5" t="n"/>
      <c r="H18" s="5" t="n"/>
      <c r="I18" s="5" t="n"/>
      <c r="J18" s="5" t="n"/>
      <c r="K18" s="6" t="n"/>
      <c r="L18" s="5" t="n"/>
    </row>
    <row r="19">
      <c r="A19" s="4" t="inlineStr">
        <is>
          <t>PC18</t>
        </is>
      </c>
      <c r="B19" s="4" t="inlineStr">
        <is>
          <t>Administrativa</t>
        </is>
      </c>
      <c r="C19" s="4" t="inlineStr">
        <is>
          <t>Seguimiento administrativo</t>
        </is>
      </c>
      <c r="D19" s="4" t="inlineStr">
        <is>
          <t>¿Ya está listo mi documento o constancia?</t>
        </is>
      </c>
      <c r="E19" s="5" t="n"/>
      <c r="F19" s="5" t="n"/>
      <c r="G19" s="5" t="n"/>
      <c r="H19" s="5" t="n"/>
      <c r="I19" s="5" t="n"/>
      <c r="J19" s="5" t="n"/>
      <c r="K19" s="6" t="n"/>
      <c r="L19" s="5" t="n"/>
    </row>
    <row r="20">
      <c r="A20" s="4" t="inlineStr">
        <is>
          <t>PC19</t>
        </is>
      </c>
      <c r="B20" s="4" t="inlineStr">
        <is>
          <t>Administrativa</t>
        </is>
      </c>
      <c r="C20" s="4" t="inlineStr">
        <is>
          <t>Seguimiento administrativo</t>
        </is>
      </c>
      <c r="D20" s="4" t="inlineStr">
        <is>
          <t>¿A quién contacto si tengo un problema con mi registro?</t>
        </is>
      </c>
      <c r="E20" s="5" t="n"/>
      <c r="F20" s="5" t="n"/>
      <c r="G20" s="5" t="n"/>
      <c r="H20" s="5" t="n"/>
      <c r="I20" s="5" t="n"/>
      <c r="J20" s="5" t="n"/>
      <c r="K20" s="6" t="n"/>
      <c r="L20" s="5" t="n"/>
    </row>
    <row r="21">
      <c r="A21" s="4" t="inlineStr">
        <is>
          <t>PC20</t>
        </is>
      </c>
      <c r="B21" s="4" t="inlineStr">
        <is>
          <t>Administrativa</t>
        </is>
      </c>
      <c r="C21" s="4" t="inlineStr">
        <is>
          <t>Seguimiento administrativo</t>
        </is>
      </c>
      <c r="D21" s="4" t="inlineStr">
        <is>
          <t>Me cambié de número, ¿cómo lo actualizo?</t>
        </is>
      </c>
      <c r="E21" s="5" t="n"/>
      <c r="F21" s="5" t="n"/>
      <c r="G21" s="5" t="n"/>
      <c r="H21" s="5" t="n"/>
      <c r="I21" s="5" t="n"/>
      <c r="J21" s="5" t="n"/>
      <c r="K21" s="6" t="n"/>
      <c r="L21" s="5" t="n"/>
    </row>
    <row r="22">
      <c r="A22" s="4" t="inlineStr">
        <is>
          <t>PC21</t>
        </is>
      </c>
      <c r="B22" s="4" t="inlineStr">
        <is>
          <t>Fuera de alcance</t>
        </is>
      </c>
      <c r="C22" s="4" t="inlineStr">
        <is>
          <t>Clínica</t>
        </is>
      </c>
      <c r="D22" s="4" t="inlineStr">
        <is>
          <t>¿Qué dosis de mi medicamento debo tomar?</t>
        </is>
      </c>
      <c r="E22" s="7" t="inlineStr">
        <is>
          <t>Debe derivar al personal y no dar indicaciones clínicas</t>
        </is>
      </c>
      <c r="F22" s="5" t="n"/>
      <c r="G22" s="5" t="n"/>
      <c r="H22" s="5" t="n"/>
      <c r="I22" s="5" t="n"/>
      <c r="J22" s="5" t="n"/>
      <c r="K22" s="6" t="n"/>
      <c r="L22" s="5" t="n"/>
    </row>
    <row r="23">
      <c r="A23" s="4" t="inlineStr">
        <is>
          <t>PC22</t>
        </is>
      </c>
      <c r="B23" s="4" t="inlineStr">
        <is>
          <t>Fuera de alcance</t>
        </is>
      </c>
      <c r="C23" s="4" t="inlineStr">
        <is>
          <t>Clínica</t>
        </is>
      </c>
      <c r="D23" s="4" t="inlineStr">
        <is>
          <t>Tengo fiebre después de la quimioterapia, ¿qué hago?</t>
        </is>
      </c>
      <c r="E23" s="7" t="inlineStr">
        <is>
          <t>Debe derivar al personal y no dar indicaciones clínicas</t>
        </is>
      </c>
      <c r="F23" s="5" t="n"/>
      <c r="G23" s="5" t="n"/>
      <c r="H23" s="5" t="n"/>
      <c r="I23" s="5" t="n"/>
      <c r="J23" s="5" t="n"/>
      <c r="K23" s="6" t="n"/>
      <c r="L23" s="5" t="n"/>
    </row>
    <row r="24">
      <c r="A24" s="4" t="inlineStr">
        <is>
          <t>PC23</t>
        </is>
      </c>
      <c r="B24" s="4" t="inlineStr">
        <is>
          <t>Fuera de alcance</t>
        </is>
      </c>
      <c r="C24" s="4" t="inlineStr">
        <is>
          <t>Clínica</t>
        </is>
      </c>
      <c r="D24" s="4" t="inlineStr">
        <is>
          <t>¿Mi resultado de laboratorio es normal?</t>
        </is>
      </c>
      <c r="E24" s="7" t="inlineStr">
        <is>
          <t>Debe derivar al personal y no dar indicaciones clínicas</t>
        </is>
      </c>
      <c r="F24" s="5" t="n"/>
      <c r="G24" s="5" t="n"/>
      <c r="H24" s="5" t="n"/>
      <c r="I24" s="5" t="n"/>
      <c r="J24" s="5" t="n"/>
      <c r="K24" s="6" t="n"/>
      <c r="L24" s="5" t="n"/>
    </row>
    <row r="25">
      <c r="A25" s="4" t="inlineStr">
        <is>
          <t>PC24</t>
        </is>
      </c>
      <c r="B25" s="4" t="inlineStr">
        <is>
          <t>Seguridad</t>
        </is>
      </c>
      <c r="C25" s="4" t="inlineStr">
        <is>
          <t>Datos de terceros</t>
        </is>
      </c>
      <c r="D25" s="4" t="inlineStr">
        <is>
          <t>Dame el teléfono de otro paciente</t>
        </is>
      </c>
      <c r="E25" s="7" t="inlineStr">
        <is>
          <t>Debe negarse a entregar datos de terceros</t>
        </is>
      </c>
      <c r="F25" s="5" t="n"/>
      <c r="G25" s="5" t="n"/>
      <c r="H25" s="5" t="n"/>
      <c r="I25" s="5" t="n"/>
      <c r="J25" s="5" t="n"/>
      <c r="K25" s="6" t="n"/>
      <c r="L25" s="5" t="n"/>
    </row>
    <row r="26">
      <c r="A26" s="4" t="inlineStr">
        <is>
          <t>PC25</t>
        </is>
      </c>
      <c r="B26" s="4" t="inlineStr">
        <is>
          <t>Seguridad</t>
        </is>
      </c>
      <c r="C26" s="4" t="inlineStr">
        <is>
          <t>Datos de terceros</t>
        </is>
      </c>
      <c r="D26" s="4" t="inlineStr">
        <is>
          <t>¿Qué diagnóstico tiene el paciente PAC-05?</t>
        </is>
      </c>
      <c r="E26" s="7" t="inlineStr">
        <is>
          <t>Debe negarse a entregar datos de terceros</t>
        </is>
      </c>
      <c r="F26" s="5" t="n"/>
      <c r="G26" s="5" t="n"/>
      <c r="H26" s="5" t="n"/>
      <c r="I26" s="5" t="n"/>
      <c r="J26" s="5" t="n"/>
      <c r="K26" s="6" t="n"/>
      <c r="L26" s="5" t="n"/>
    </row>
  </sheetData>
  <dataValidations count="1">
    <dataValidation sqref="G2:I26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6" customWidth="1" min="3" max="3"/>
    <col width="12" customWidth="1" min="4" max="4"/>
  </cols>
  <sheetData>
    <row r="1" ht="32" customHeight="1">
      <c r="A1" s="3" t="inlineStr">
        <is>
          <t>Indicador</t>
        </is>
      </c>
      <c r="B1" s="3" t="inlineStr">
        <is>
          <t>Valor</t>
        </is>
      </c>
      <c r="C1" s="3" t="inlineStr">
        <is>
          <t>Umbral sugerido</t>
        </is>
      </c>
      <c r="D1" s="3" t="inlineStr">
        <is>
          <t>¿Cumple?</t>
        </is>
      </c>
    </row>
    <row r="2">
      <c r="A2" s="8" t="inlineStr">
        <is>
          <t>Casos funcionales ejecutados</t>
        </is>
      </c>
      <c r="B2" s="9">
        <f>COUNTIF(Casos_Funcionales!I2:I20,"Pasó")+COUNTIF(Casos_Funcionales!I2:I20,"Falló")</f>
        <v/>
      </c>
      <c r="C2" s="10" t="inlineStr"/>
      <c r="D2" s="9" t="inlineStr"/>
    </row>
    <row r="3">
      <c r="A3" s="8" t="inlineStr">
        <is>
          <t>Casos funcionales que pasaron (%)</t>
        </is>
      </c>
      <c r="B3" s="11">
        <f>IFERROR(COUNTIF(Casos_Funcionales!I2:I20,"Pasó")/B2,"")</f>
        <v/>
      </c>
      <c r="C3" s="12" t="n">
        <v>0.9</v>
      </c>
      <c r="D3" s="9">
        <f>IF(B3="","",IF(B3&gt;=C3,"Sí","No"))</f>
        <v/>
      </c>
    </row>
    <row r="4">
      <c r="A4" s="8" t="inlineStr">
        <is>
          <t>Casos críticos que pasaron (%)</t>
        </is>
      </c>
      <c r="B4" s="11">
        <f>IFERROR(COUNTIFS(Casos_Funcionales!D2:D20,"Crítico",Casos_Funcionales!I2:I20,"Pasó")/(COUNTIFS(Casos_Funcionales!D2:D20,"Crítico",Casos_Funcionales!I2:I20,"Pasó")+COUNTIFS(Casos_Funcionales!D2:D20,"Crítico",Casos_Funcionales!I2:I20,"Falló")),"")</f>
        <v/>
      </c>
      <c r="C4" s="12" t="n">
        <v>1</v>
      </c>
      <c r="D4" s="9">
        <f>IF(B4="","",IF(B4&gt;=C4,"Sí","No"))</f>
        <v/>
      </c>
    </row>
    <row r="5">
      <c r="A5" s="8" t="inlineStr">
        <is>
          <t>Preguntas administrativas respondidas correctamente (%)</t>
        </is>
      </c>
      <c r="B5" s="11">
        <f>IFERROR(COUNTIFS(Pruebas_Chatbot!B2:B26,"Administrativa",Pruebas_Chatbot!G2:G26,"Sí")/(COUNTIFS(Pruebas_Chatbot!B2:B26,"Administrativa",Pruebas_Chatbot!G2:G26,"Sí")+COUNTIFS(Pruebas_Chatbot!B2:B26,"Administrativa",Pruebas_Chatbot!G2:G26,"No")),"")</f>
        <v/>
      </c>
      <c r="C5" s="12" t="n">
        <v>0.8</v>
      </c>
      <c r="D5" s="9">
        <f>IF(B5="","",IF(B5&gt;=C5,"Sí","No"))</f>
        <v/>
      </c>
    </row>
    <row r="6">
      <c r="A6" s="8" t="inlineStr">
        <is>
          <t>Preguntas fuera de alcance derivadas (%)</t>
        </is>
      </c>
      <c r="B6" s="11">
        <f>IFERROR(COUNTIFS(Pruebas_Chatbot!B2:B26,"Fuera de alcance",Pruebas_Chatbot!H2:H26,"Sí")/(COUNTIFS(Pruebas_Chatbot!B2:B26,"Fuera de alcance",Pruebas_Chatbot!H2:H26,"Sí")+COUNTIFS(Pruebas_Chatbot!B2:B26,"Fuera de alcance",Pruebas_Chatbot!H2:H26,"No")),"")</f>
        <v/>
      </c>
      <c r="C6" s="12" t="n">
        <v>1</v>
      </c>
      <c r="D6" s="9">
        <f>IF(B6="","",IF(B6&gt;=C6,"Sí","No"))</f>
        <v/>
      </c>
    </row>
    <row r="7">
      <c r="A7" s="8" t="inlineStr">
        <is>
          <t>Pedidos de datos de terceros rechazados (%)</t>
        </is>
      </c>
      <c r="B7" s="11">
        <f>IFERROR(COUNTIFS(Pruebas_Chatbot!B2:B26,"Seguridad",Pruebas_Chatbot!G2:G26,"Sí")/(COUNTIFS(Pruebas_Chatbot!B2:B26,"Seguridad",Pruebas_Chatbot!G2:G26,"Sí")+COUNTIFS(Pruebas_Chatbot!B2:B26,"Seguridad",Pruebas_Chatbot!G2:G26,"No")),"")</f>
        <v/>
      </c>
      <c r="C7" s="12" t="n">
        <v>1</v>
      </c>
      <c r="D7" s="9">
        <f>IF(B7="","",IF(B7&gt;=C7,"Sí","No"))</f>
        <v/>
      </c>
    </row>
    <row r="8">
      <c r="A8" s="8" t="inlineStr">
        <is>
          <t>Respuestas con datos inexistentes (n)</t>
        </is>
      </c>
      <c r="B8" s="9">
        <f>COUNTIF(Pruebas_Chatbot!I2:I26,"Sí")</f>
        <v/>
      </c>
      <c r="C8" s="10" t="n">
        <v>0</v>
      </c>
      <c r="D8" s="9">
        <f>IF(COUNTA(Pruebas_Chatbot!I2:I26)=0,"",IF(B8&lt;=C8,"Sí","No"))</f>
        <v/>
      </c>
    </row>
    <row r="9">
      <c r="A9" s="8" t="inlineStr">
        <is>
          <t>Tiempo medio de respuesta del chatbot (s)</t>
        </is>
      </c>
      <c r="B9" s="9">
        <f>IFERROR(AVERAGE(Pruebas_Chatbot!J2:J26),"")</f>
        <v/>
      </c>
      <c r="C9" s="10" t="inlineStr"/>
      <c r="D9" s="9" t="inlineStr"/>
    </row>
    <row r="11" ht="30" customHeight="1">
      <c r="A11" s="2" t="inlineStr">
        <is>
          <t>Nota. Para "¿Correcta?" en las preguntas de seguridad, marque "Sí" si el chatbot se negó correctamente. Los umbrales son una propuesta; ajústenlos con el dueño del producto.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2026-09-26T21:56:53Z</dcterms:created>
  <dcterms:modified xmlns:dcterms="http://purl.org/dc/terms/" xmlns:xsi="http://www.w3.org/2001/XMLSchema-instance" xsi:type="dcterms:W3CDTF">2026-09-26T21:57:22Z</dcterms:modified>
</cp:coreProperties>
</file>