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Listas" sheetId="1" state="hidden" r:id="rId3"/>
    <sheet name="Configuracion" sheetId="2" state="visible" r:id="rId4"/>
    <sheet name="Pacientes" sheetId="3" state="visible" r:id="rId5"/>
    <sheet name="TPR_PRE" sheetId="4" state="visible" r:id="rId6"/>
    <sheet name="TPR_POST" sheetId="5" state="visible" r:id="rId7"/>
    <sheet name="Ausentismo_PRE" sheetId="6" state="visible" r:id="rId8"/>
    <sheet name="Ausentismo_POST" sheetId="7" state="visible" r:id="rId9"/>
    <sheet name="Consultas_PRE" sheetId="8" state="visible" r:id="rId10"/>
    <sheet name="Consultas_POST" sheetId="9" state="visible" r:id="rId11"/>
    <sheet name="Sesiones" sheetId="10" state="visible" r:id="rId12"/>
    <sheet name="Resumen_PRE_PO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<sst xmlns="http://schemas.openxmlformats.org/spreadsheetml/2006/main" count="839" uniqueCount="143">
  <si>
    <t xml:space="preserve">FechasPRE</t>
  </si>
  <si>
    <t xml:space="preserve">FechasPOST</t>
  </si>
  <si>
    <t xml:space="preserve">SiNo</t>
  </si>
  <si>
    <t xml:space="preserve">EstadoCita</t>
  </si>
  <si>
    <t xml:space="preserve">Categoria</t>
  </si>
  <si>
    <t xml:space="preserve">CanalPRE</t>
  </si>
  <si>
    <t xml:space="preserve">Sexo</t>
  </si>
  <si>
    <t xml:space="preserve">EstadoPaciente</t>
  </si>
  <si>
    <t xml:space="preserve">Sí</t>
  </si>
  <si>
    <t xml:space="preserve">Asistió</t>
  </si>
  <si>
    <t xml:space="preserve">Citas</t>
  </si>
  <si>
    <t xml:space="preserve">Presencial</t>
  </si>
  <si>
    <t xml:space="preserve">M</t>
  </si>
  <si>
    <t xml:space="preserve">Activo</t>
  </si>
  <si>
    <t xml:space="preserve">No</t>
  </si>
  <si>
    <t xml:space="preserve">No asistió</t>
  </si>
  <si>
    <t xml:space="preserve">Horarios</t>
  </si>
  <si>
    <t xml:space="preserve">Telefónico</t>
  </si>
  <si>
    <t xml:space="preserve">F</t>
  </si>
  <si>
    <t xml:space="preserve">Inactivo</t>
  </si>
  <si>
    <t xml:space="preserve">Cancelada</t>
  </si>
  <si>
    <t xml:space="preserve">Información institucional</t>
  </si>
  <si>
    <t xml:space="preserve">WhatsApp institucional</t>
  </si>
  <si>
    <t xml:space="preserve">Reprogramada</t>
  </si>
  <si>
    <t xml:space="preserve">Requisitos</t>
  </si>
  <si>
    <t xml:space="preserve">Ubicación</t>
  </si>
  <si>
    <t xml:space="preserve">Seguimiento administrativo</t>
  </si>
  <si>
    <t xml:space="preserve">Otro</t>
  </si>
  <si>
    <t xml:space="preserve">CONFIGURACIÓN DEL ESTUDIO</t>
  </si>
  <si>
    <t xml:space="preserve">Código de estudio:</t>
  </si>
  <si>
    <t xml:space="preserve">SWC-FO-2026 (Sistema Web con Chatbot - Fundación Oncológica - 2026)</t>
  </si>
  <si>
    <t xml:space="preserve">Título:</t>
  </si>
  <si>
    <t xml:space="preserve">Sistema web con chatbot para la gestión de pacientes en una fundación oncológica privada de Lima, 2026</t>
  </si>
  <si>
    <t xml:space="preserve">Diseño:</t>
  </si>
  <si>
    <t xml:space="preserve">Pre-experimental de un solo grupo, con pretest y postest, comparados mediante 13 sesiones equivalentes</t>
  </si>
  <si>
    <t xml:space="preserve">Fechas PRETEST (lun/mié/vie):</t>
  </si>
  <si>
    <t xml:space="preserve">02/09/2026, 04/09/2026, 07/09/2026, 09/09/2026, 11/09/2026, 14/09/2026, 16/09/2026, 18/09/2026, 21/09/2026, 23/09/2026, 25/09/2026, 28/09/2026, 30/09/2026</t>
  </si>
  <si>
    <t xml:space="preserve">Fechas POSTEST (lun/mié/vie):</t>
  </si>
  <si>
    <t xml:space="preserve">02/10/2026, 05/10/2026, 07/10/2026, 09/10/2026, 12/10/2026, 14/10/2026, 16/10/2026, 19/10/2026, 21/10/2026, 23/10/2026, 26/10/2026, 28/10/2026, 30/10/2026</t>
  </si>
  <si>
    <t xml:space="preserve">Unidad de análisis - TPR:</t>
  </si>
  <si>
    <t xml:space="preserve">Cada proceso de registro de paciente efectivamente ejecutado</t>
  </si>
  <si>
    <t xml:space="preserve">Unidad de análisis - Ausentismo:</t>
  </si>
  <si>
    <t xml:space="preserve">Cada cita médica programada elegible (se excluyen citas canceladas o reprogramadas con anticipación)</t>
  </si>
  <si>
    <t xml:space="preserve">Unidad de análisis - Consultas:</t>
  </si>
  <si>
    <t xml:space="preserve">Cada consulta administrativa recibida por el canal correspondiente</t>
  </si>
  <si>
    <t xml:space="preserve">Fórmula TPR:</t>
  </si>
  <si>
    <t xml:space="preserve">TPR = (Σ tiempo de cada registro) / (N.° de registros), en minutos</t>
  </si>
  <si>
    <t xml:space="preserve">Fórmula Tasa de Ausentismo:</t>
  </si>
  <si>
    <t xml:space="preserve">TA = (N.° de citas no asistidas sin previo aviso / N.° de citas programadas elegibles) x 100</t>
  </si>
  <si>
    <t xml:space="preserve">Fórmula Nivel de Consultas Atendidas:</t>
  </si>
  <si>
    <t xml:space="preserve">NCA = (N.° de consultas resueltas correctamente / N.° de consultas recibidas) x 100</t>
  </si>
  <si>
    <t xml:space="preserve">Criterios de inclusión:</t>
  </si>
  <si>
    <t xml:space="preserve">Pacientes activos de la fundación oncológica durante el período de estudio, mayores de edad, con al menos una cita registrada en el sistema y que acepten participar mediante consentimiento informado.</t>
  </si>
  <si>
    <t xml:space="preserve">Criterios de exclusión:</t>
  </si>
  <si>
    <t xml:space="preserve">Pacientes con registros incompletos o ilegibles, que suspendan tratamiento durante el estudio, que fallezcan durante la investigación, o que no otorguen o retiren su consentimiento.</t>
  </si>
  <si>
    <t xml:space="preserve">Regla de calidad de datos:</t>
  </si>
  <si>
    <t xml:space="preserve">Registrar únicamente los eventos que realmente ocurrieron cada sesión. No completar filas artificiales para alcanzar un número fijo de registros, citas o consultas.</t>
  </si>
  <si>
    <t xml:space="preserve">CÓMO USAR ESTE ARCHIVO</t>
  </si>
  <si>
    <t xml:space="preserve">1. Use la hoja Pacientes para registrar a los 30 participantes (código, edad, sexo). Si aparece un paciente nuevo durante el postest que no estaba en la lista original, agréguelo al final.</t>
  </si>
  <si>
    <t xml:space="preserve">2. En cada hoja PRE/POST (TPR, Ausentismo, Consultas), agregue una fila por cada evento real (registro, cita o consulta) que haya ocurrido, seleccionando la fecha de la lista desplegable. No es necesario llenar un número fijo de filas por sesión.</t>
  </si>
  <si>
    <t xml:space="preserve">3. Las celdas en amarillo son las que debe completar con datos reales. Las columnas de fecha y las categóricas tienen lista desplegable para evitar errores de escritura.</t>
  </si>
  <si>
    <t xml:space="preserve">4. La hoja Sesiones calcula automáticamente el valor de cada indicador por sesión (13 PRE y 13 POST) a partir de lo que usted haya registrado. No edite esa hoja manualmente.</t>
  </si>
  <si>
    <t xml:space="preserve">5. La hoja Resumen_PRE_POST muestra el promedio general de cada indicador; se actualiza sola.</t>
  </si>
  <si>
    <t xml:space="preserve">Código</t>
  </si>
  <si>
    <t xml:space="preserve">Edad</t>
  </si>
  <si>
    <t xml:space="preserve">Estado</t>
  </si>
  <si>
    <t xml:space="preserve">Participó en la muestra original (30)</t>
  </si>
  <si>
    <t xml:space="preserve">PAC-01</t>
  </si>
  <si>
    <t xml:space="preserve">PAC-02</t>
  </si>
  <si>
    <t xml:space="preserve">PAC-03</t>
  </si>
  <si>
    <t xml:space="preserve">PAC-04</t>
  </si>
  <si>
    <t xml:space="preserve">PAC-05</t>
  </si>
  <si>
    <t xml:space="preserve">PAC-06</t>
  </si>
  <si>
    <t xml:space="preserve">PAC-07</t>
  </si>
  <si>
    <t xml:space="preserve">PAC-08</t>
  </si>
  <si>
    <t xml:space="preserve">PAC-09</t>
  </si>
  <si>
    <t xml:space="preserve">PAC-10</t>
  </si>
  <si>
    <t xml:space="preserve">PAC-11</t>
  </si>
  <si>
    <t xml:space="preserve">PAC-12</t>
  </si>
  <si>
    <t xml:space="preserve">PAC-13</t>
  </si>
  <si>
    <t xml:space="preserve">PAC-14</t>
  </si>
  <si>
    <t xml:space="preserve">PAC-15</t>
  </si>
  <si>
    <t xml:space="preserve">PAC-16</t>
  </si>
  <si>
    <t xml:space="preserve">PAC-17</t>
  </si>
  <si>
    <t xml:space="preserve">PAC-18</t>
  </si>
  <si>
    <t xml:space="preserve">PAC-19</t>
  </si>
  <si>
    <t xml:space="preserve">PAC-20</t>
  </si>
  <si>
    <t xml:space="preserve">PAC-21</t>
  </si>
  <si>
    <t xml:space="preserve">PAC-22</t>
  </si>
  <si>
    <t xml:space="preserve">PAC-23</t>
  </si>
  <si>
    <t xml:space="preserve">PAC-24</t>
  </si>
  <si>
    <t xml:space="preserve">PAC-25</t>
  </si>
  <si>
    <t xml:space="preserve">PAC-26</t>
  </si>
  <si>
    <t xml:space="preserve">PAC-27</t>
  </si>
  <si>
    <t xml:space="preserve">PAC-28</t>
  </si>
  <si>
    <t xml:space="preserve">PAC-29</t>
  </si>
  <si>
    <t xml:space="preserve">PAC-30</t>
  </si>
  <si>
    <t xml:space="preserve">No (nuevo)</t>
  </si>
  <si>
    <t xml:space="preserve">ID registro</t>
  </si>
  <si>
    <t xml:space="preserve">Fecha</t>
  </si>
  <si>
    <t xml:space="preserve">Código
paciente</t>
  </si>
  <si>
    <t xml:space="preserve">Hora inicio
registro</t>
  </si>
  <si>
    <t xml:space="preserve">Hora fin
registro</t>
  </si>
  <si>
    <t xml:space="preserve">TPR (min)</t>
  </si>
  <si>
    <t xml:space="preserve">Modalidad</t>
  </si>
  <si>
    <t xml:space="preserve">Ej.</t>
  </si>
  <si>
    <t xml:space="preserve">PAC-00</t>
  </si>
  <si>
    <t xml:space="preserve">Manual</t>
  </si>
  <si>
    <t xml:space="preserve">Sistema</t>
  </si>
  <si>
    <t xml:space="preserve">ID cita</t>
  </si>
  <si>
    <t xml:space="preserve">Cita
programada</t>
  </si>
  <si>
    <t xml:space="preserve">Motivo
(si no asistió)</t>
  </si>
  <si>
    <t xml:space="preserve">Recordatorio
enviado</t>
  </si>
  <si>
    <t xml:space="preserve">Sin aviso</t>
  </si>
  <si>
    <t xml:space="preserve">ID
consulta</t>
  </si>
  <si>
    <t xml:space="preserve">Categoría</t>
  </si>
  <si>
    <t xml:space="preserve">Canal</t>
  </si>
  <si>
    <t xml:space="preserve">Resuelta</t>
  </si>
  <si>
    <t xml:space="preserve">Derivada a
personal humano</t>
  </si>
  <si>
    <t xml:space="preserve">Tiempo de
respuesta (min)</t>
  </si>
  <si>
    <t xml:space="preserve">Horario de atención</t>
  </si>
  <si>
    <t xml:space="preserve">Chatbot</t>
  </si>
  <si>
    <t xml:space="preserve">Par</t>
  </si>
  <si>
    <t xml:space="preserve">Fecha PRE</t>
  </si>
  <si>
    <t xml:space="preserve">TPR PRE
(min)</t>
  </si>
  <si>
    <t xml:space="preserve">Ausentismo
PRE (%)</t>
  </si>
  <si>
    <t xml:space="preserve">Consultas
PRE (%)</t>
  </si>
  <si>
    <t xml:space="preserve">Fecha POST</t>
  </si>
  <si>
    <t xml:space="preserve">TPR POST
(min)</t>
  </si>
  <si>
    <t xml:space="preserve">Ausentismo
POST (%)</t>
  </si>
  <si>
    <t xml:space="preserve">Consultas
POST (%)</t>
  </si>
  <si>
    <t xml:space="preserve">Esta hoja se calcula automáticamente a partir de las hojas TPR/Ausentismo/Consultas PRE y POST. No editar manualmente.</t>
  </si>
  <si>
    <t xml:space="preserve">Indicador</t>
  </si>
  <si>
    <t xml:space="preserve">PRE
(promedio 13 sesiones)</t>
  </si>
  <si>
    <t xml:space="preserve">POST
(promedio 13 sesiones)</t>
  </si>
  <si>
    <t xml:space="preserve">Diferencia</t>
  </si>
  <si>
    <t xml:space="preserve">Dirección esperada</t>
  </si>
  <si>
    <t xml:space="preserve">Tiempo Promedio de Registro (TPR, min)</t>
  </si>
  <si>
    <t xml:space="preserve">PRE &gt; POST (se espera reducción)</t>
  </si>
  <si>
    <t xml:space="preserve">Tasa de Ausentismo (%)</t>
  </si>
  <si>
    <t xml:space="preserve">Nivel de Consultas Atendidas (%)</t>
  </si>
  <si>
    <t xml:space="preserve">POST &gt; PRE (se espera aumento)</t>
  </si>
  <si>
    <t xml:space="preserve">Los valores se calculan automáticamente a partir de la hoja Sesiones, que a su vez se alimenta de los registros reales ingresados en las hojas PRE/POST.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</si>
</sst>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:ss"/>
    <numFmt numFmtId="167" formatCode="0.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46267</v>
      </c>
      <c r="B2" s="2" t="n">
        <v>46297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customFormat="false" ht="15" hidden="false" customHeight="false" outlineLevel="0" collapsed="false">
      <c r="A3" s="2" t="n">
        <v>46269</v>
      </c>
      <c r="B3" s="2" t="n">
        <v>46300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</row>
    <row r="4" customFormat="false" ht="15" hidden="false" customHeight="false" outlineLevel="0" collapsed="false">
      <c r="A4" s="2" t="n">
        <v>46272</v>
      </c>
      <c r="B4" s="2" t="n">
        <v>46302</v>
      </c>
      <c r="D4" s="3" t="s">
        <v>20</v>
      </c>
      <c r="E4" s="3" t="s">
        <v>21</v>
      </c>
      <c r="F4" s="3" t="s">
        <v>22</v>
      </c>
    </row>
    <row r="5" customFormat="false" ht="15" hidden="false" customHeight="false" outlineLevel="0" collapsed="false">
      <c r="A5" s="2" t="n">
        <v>46274</v>
      </c>
      <c r="B5" s="2" t="n">
        <v>46304</v>
      </c>
      <c r="D5" s="3" t="s">
        <v>23</v>
      </c>
      <c r="E5" s="3" t="s">
        <v>24</v>
      </c>
    </row>
    <row r="6" customFormat="false" ht="15" hidden="false" customHeight="false" outlineLevel="0" collapsed="false">
      <c r="A6" s="2" t="n">
        <v>46276</v>
      </c>
      <c r="B6" s="2" t="n">
        <v>46307</v>
      </c>
      <c r="E6" s="3" t="s">
        <v>25</v>
      </c>
    </row>
    <row r="7" customFormat="false" ht="15" hidden="false" customHeight="false" outlineLevel="0" collapsed="false">
      <c r="A7" s="2" t="n">
        <v>46279</v>
      </c>
      <c r="B7" s="2" t="n">
        <v>46309</v>
      </c>
      <c r="E7" s="3" t="s">
        <v>26</v>
      </c>
    </row>
    <row r="8" customFormat="false" ht="15" hidden="false" customHeight="false" outlineLevel="0" collapsed="false">
      <c r="A8" s="2" t="n">
        <v>46281</v>
      </c>
      <c r="B8" s="2" t="n">
        <v>46311</v>
      </c>
      <c r="E8" s="3" t="s">
        <v>27</v>
      </c>
    </row>
    <row r="9" customFormat="false" ht="15" hidden="false" customHeight="false" outlineLevel="0" collapsed="false">
      <c r="A9" s="2" t="n">
        <v>46283</v>
      </c>
      <c r="B9" s="2" t="n">
        <v>46314</v>
      </c>
    </row>
    <row r="10" customFormat="false" ht="15" hidden="false" customHeight="false" outlineLevel="0" collapsed="false">
      <c r="A10" s="2" t="n">
        <v>46286</v>
      </c>
      <c r="B10" s="2" t="n">
        <v>46316</v>
      </c>
    </row>
    <row r="11" customFormat="false" ht="15" hidden="false" customHeight="false" outlineLevel="0" collapsed="false">
      <c r="A11" s="2" t="n">
        <v>46288</v>
      </c>
      <c r="B11" s="2" t="n">
        <v>46318</v>
      </c>
    </row>
    <row r="12" customFormat="false" ht="15" hidden="false" customHeight="false" outlineLevel="0" collapsed="false">
      <c r="A12" s="2" t="n">
        <v>46290</v>
      </c>
      <c r="B12" s="2" t="n">
        <v>46321</v>
      </c>
    </row>
    <row r="13" customFormat="false" ht="15" hidden="false" customHeight="false" outlineLevel="0" collapsed="false">
      <c r="A13" s="2" t="n">
        <v>46293</v>
      </c>
      <c r="B13" s="2" t="n">
        <v>46323</v>
      </c>
    </row>
    <row r="14" customFormat="false" ht="15" hidden="false" customHeight="false" outlineLevel="0" collapsed="false">
      <c r="A14" s="2" t="n">
        <v>46295</v>
      </c>
      <c r="B14" s="2" t="n">
        <v>46325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25.5" hidden="false" customHeight="true" outlineLevel="0" collapsed="false">
      <c r="A1" s="4" t="s">
        <v>28</v>
      </c>
      <c r="B1" s="4"/>
    </row>
    <row r="2" customFormat="false" ht="33.75" hidden="false" customHeight="true" outlineLevel="0" collapsed="false">
      <c r="A2" s="1" t="s">
        <v>29</v>
      </c>
      <c r="B2" s="5" t="s">
        <v>30</v>
      </c>
    </row>
    <row r="3" customFormat="false" ht="33.75" hidden="false" customHeight="true" outlineLevel="0" collapsed="false">
      <c r="A3" s="1" t="s">
        <v>31</v>
      </c>
      <c r="B3" s="5" t="s">
        <v>32</v>
      </c>
    </row>
    <row r="4" customFormat="false" ht="33.75" hidden="false" customHeight="true" outlineLevel="0" collapsed="false">
      <c r="A4" s="1" t="s">
        <v>33</v>
      </c>
      <c r="B4" s="5" t="s">
        <v>34</v>
      </c>
    </row>
    <row r="5" customFormat="false" ht="33.75" hidden="false" customHeight="true" outlineLevel="0" collapsed="false">
      <c r="A5" s="1" t="s">
        <v>35</v>
      </c>
      <c r="B5" s="5" t="s">
        <v>36</v>
      </c>
    </row>
    <row r="6" customFormat="false" ht="33.75" hidden="false" customHeight="true" outlineLevel="0" collapsed="false">
      <c r="A6" s="1" t="s">
        <v>37</v>
      </c>
      <c r="B6" s="5" t="s">
        <v>38</v>
      </c>
    </row>
    <row r="7" customFormat="false" ht="33.75" hidden="false" customHeight="true" outlineLevel="0" collapsed="false">
      <c r="A7" s="1" t="s">
        <v>39</v>
      </c>
      <c r="B7" s="5" t="s">
        <v>40</v>
      </c>
    </row>
    <row r="8" customFormat="false" ht="33.75" hidden="false" customHeight="true" outlineLevel="0" collapsed="false">
      <c r="A8" s="1" t="s">
        <v>41</v>
      </c>
      <c r="B8" s="5" t="s">
        <v>42</v>
      </c>
    </row>
    <row r="9" customFormat="false" ht="33.75" hidden="false" customHeight="true" outlineLevel="0" collapsed="false">
      <c r="A9" s="1" t="s">
        <v>43</v>
      </c>
      <c r="B9" s="5" t="s">
        <v>44</v>
      </c>
    </row>
    <row r="10" customFormat="false" ht="33.75" hidden="false" customHeight="true" outlineLevel="0" collapsed="false">
      <c r="A10" s="1" t="s">
        <v>45</v>
      </c>
      <c r="B10" s="5" t="s">
        <v>46</v>
      </c>
    </row>
    <row r="11" customFormat="false" ht="33.75" hidden="false" customHeight="true" outlineLevel="0" collapsed="false">
      <c r="A11" s="1" t="s">
        <v>47</v>
      </c>
      <c r="B11" s="5" t="s">
        <v>48</v>
      </c>
    </row>
    <row r="12" customFormat="false" ht="33.75" hidden="false" customHeight="true" outlineLevel="0" collapsed="false">
      <c r="A12" s="1" t="s">
        <v>49</v>
      </c>
      <c r="B12" s="5" t="s">
        <v>50</v>
      </c>
    </row>
    <row r="13" customFormat="false" ht="33.75" hidden="false" customHeight="true" outlineLevel="0" collapsed="false">
      <c r="A13" s="1" t="s">
        <v>51</v>
      </c>
      <c r="B13" s="5" t="s">
        <v>52</v>
      </c>
    </row>
    <row r="14" customFormat="false" ht="33.75" hidden="false" customHeight="true" outlineLevel="0" collapsed="false">
      <c r="A14" s="1" t="s">
        <v>53</v>
      </c>
      <c r="B14" s="5" t="s">
        <v>54</v>
      </c>
    </row>
    <row r="15" customFormat="false" ht="33.75" hidden="false" customHeight="true" outlineLevel="0" collapsed="false">
      <c r="A15" s="1" t="s">
        <v>55</v>
      </c>
      <c r="B15" s="5" t="s">
        <v>56</v>
      </c>
    </row>
    <row r="17" customFormat="false" ht="15" hidden="false" customHeight="false" outlineLevel="0" collapsed="false">
      <c r="A17" s="6" t="s">
        <v>57</v>
      </c>
      <c r="B17" s="6"/>
    </row>
    <row r="18" customFormat="false" ht="27.75" hidden="false" customHeight="true" outlineLevel="0" collapsed="false">
      <c r="A18" s="7" t="s">
        <v>58</v>
      </c>
      <c r="B18" s="7"/>
    </row>
    <row r="19" customFormat="false" ht="27.75" hidden="false" customHeight="true" outlineLevel="0" collapsed="false">
      <c r="A19" s="7" t="s">
        <v>59</v>
      </c>
      <c r="B19" s="7"/>
    </row>
    <row r="20" customFormat="false" ht="27.75" hidden="false" customHeight="true" outlineLevel="0" collapsed="false">
      <c r="A20" s="7" t="s">
        <v>60</v>
      </c>
      <c r="B20" s="7"/>
    </row>
    <row r="21" customFormat="false" ht="27.75" hidden="false" customHeight="true" outlineLevel="0" collapsed="false">
      <c r="A21" s="7" t="s">
        <v>61</v>
      </c>
      <c r="B21" s="7"/>
    </row>
    <row r="22" customFormat="false" ht="27.75" hidden="false" customHeight="true" outlineLevel="0" collapsed="false">
      <c r="A22" s="7" t="s">
        <v>62</v>
      </c>
      <c r="B22" s="7"/>
    </row>
  </sheetData>
  <mergeCells count="7">
    <mergeCell ref="A1:B1"/>
    <mergeCell ref="A17:B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8"/>
    <col collapsed="false" customWidth="true" hidden="false" outlineLevel="0" max="4" min="4" style="0" width="12"/>
    <col collapsed="false" customWidth="true" hidden="false" outlineLevel="0" max="5" min="5" style="0" width="20"/>
  </cols>
  <sheetData>
    <row r="1" customFormat="false" ht="27.75" hidden="false" customHeight="true" outlineLevel="0" collapsed="false">
      <c r="A1" s="8" t="s">
        <v>63</v>
      </c>
      <c r="B1" s="8" t="s">
        <v>64</v>
      </c>
      <c r="C1" s="8" t="s">
        <v>6</v>
      </c>
      <c r="D1" s="8" t="s">
        <v>65</v>
      </c>
      <c r="E1" s="8" t="s">
        <v>66</v>
      </c>
    </row>
    <row r="2" customFormat="false" ht="15" hidden="false" customHeight="false" outlineLevel="0" collapsed="false">
      <c r="A2" s="9" t="s">
        <v>67</v>
      </c>
      <c r="B2" s="10"/>
      <c r="C2" s="10"/>
      <c r="D2" s="10"/>
      <c r="E2" s="9" t="s">
        <v>8</v>
      </c>
    </row>
    <row r="3" customFormat="false" ht="15" hidden="false" customHeight="false" outlineLevel="0" collapsed="false">
      <c r="A3" s="9" t="s">
        <v>68</v>
      </c>
      <c r="B3" s="10"/>
      <c r="C3" s="10"/>
      <c r="D3" s="10"/>
      <c r="E3" s="9" t="s">
        <v>8</v>
      </c>
    </row>
    <row r="4" customFormat="false" ht="15" hidden="false" customHeight="false" outlineLevel="0" collapsed="false">
      <c r="A4" s="9" t="s">
        <v>69</v>
      </c>
      <c r="B4" s="10"/>
      <c r="C4" s="10"/>
      <c r="D4" s="10"/>
      <c r="E4" s="9" t="s">
        <v>8</v>
      </c>
    </row>
    <row r="5" customFormat="false" ht="15" hidden="false" customHeight="false" outlineLevel="0" collapsed="false">
      <c r="A5" s="9" t="s">
        <v>70</v>
      </c>
      <c r="B5" s="10"/>
      <c r="C5" s="10"/>
      <c r="D5" s="10"/>
      <c r="E5" s="9" t="s">
        <v>8</v>
      </c>
    </row>
    <row r="6" customFormat="false" ht="15" hidden="false" customHeight="false" outlineLevel="0" collapsed="false">
      <c r="A6" s="9" t="s">
        <v>71</v>
      </c>
      <c r="B6" s="10"/>
      <c r="C6" s="10"/>
      <c r="D6" s="10"/>
      <c r="E6" s="9" t="s">
        <v>8</v>
      </c>
    </row>
    <row r="7" customFormat="false" ht="15" hidden="false" customHeight="false" outlineLevel="0" collapsed="false">
      <c r="A7" s="9" t="s">
        <v>72</v>
      </c>
      <c r="B7" s="10"/>
      <c r="C7" s="10"/>
      <c r="D7" s="10"/>
      <c r="E7" s="9" t="s">
        <v>8</v>
      </c>
    </row>
    <row r="8" customFormat="false" ht="15" hidden="false" customHeight="false" outlineLevel="0" collapsed="false">
      <c r="A8" s="9" t="s">
        <v>73</v>
      </c>
      <c r="B8" s="10"/>
      <c r="C8" s="10"/>
      <c r="D8" s="10"/>
      <c r="E8" s="9" t="s">
        <v>8</v>
      </c>
    </row>
    <row r="9" customFormat="false" ht="15" hidden="false" customHeight="false" outlineLevel="0" collapsed="false">
      <c r="A9" s="9" t="s">
        <v>74</v>
      </c>
      <c r="B9" s="10"/>
      <c r="C9" s="10"/>
      <c r="D9" s="10"/>
      <c r="E9" s="9" t="s">
        <v>8</v>
      </c>
    </row>
    <row r="10" customFormat="false" ht="15" hidden="false" customHeight="false" outlineLevel="0" collapsed="false">
      <c r="A10" s="9" t="s">
        <v>75</v>
      </c>
      <c r="B10" s="10"/>
      <c r="C10" s="10"/>
      <c r="D10" s="10"/>
      <c r="E10" s="9" t="s">
        <v>8</v>
      </c>
    </row>
    <row r="11" customFormat="false" ht="15" hidden="false" customHeight="false" outlineLevel="0" collapsed="false">
      <c r="A11" s="9" t="s">
        <v>76</v>
      </c>
      <c r="B11" s="10"/>
      <c r="C11" s="10"/>
      <c r="D11" s="10"/>
      <c r="E11" s="9" t="s">
        <v>8</v>
      </c>
    </row>
    <row r="12" customFormat="false" ht="15" hidden="false" customHeight="false" outlineLevel="0" collapsed="false">
      <c r="A12" s="9" t="s">
        <v>77</v>
      </c>
      <c r="B12" s="10"/>
      <c r="C12" s="10"/>
      <c r="D12" s="10"/>
      <c r="E12" s="9" t="s">
        <v>8</v>
      </c>
    </row>
    <row r="13" customFormat="false" ht="15" hidden="false" customHeight="false" outlineLevel="0" collapsed="false">
      <c r="A13" s="9" t="s">
        <v>78</v>
      </c>
      <c r="B13" s="10"/>
      <c r="C13" s="10"/>
      <c r="D13" s="10"/>
      <c r="E13" s="9" t="s">
        <v>8</v>
      </c>
    </row>
    <row r="14" customFormat="false" ht="15" hidden="false" customHeight="false" outlineLevel="0" collapsed="false">
      <c r="A14" s="9" t="s">
        <v>79</v>
      </c>
      <c r="B14" s="10"/>
      <c r="C14" s="10"/>
      <c r="D14" s="10"/>
      <c r="E14" s="9" t="s">
        <v>8</v>
      </c>
    </row>
    <row r="15" customFormat="false" ht="15" hidden="false" customHeight="false" outlineLevel="0" collapsed="false">
      <c r="A15" s="9" t="s">
        <v>80</v>
      </c>
      <c r="B15" s="10"/>
      <c r="C15" s="10"/>
      <c r="D15" s="10"/>
      <c r="E15" s="9" t="s">
        <v>8</v>
      </c>
    </row>
    <row r="16" customFormat="false" ht="15" hidden="false" customHeight="false" outlineLevel="0" collapsed="false">
      <c r="A16" s="9" t="s">
        <v>81</v>
      </c>
      <c r="B16" s="10"/>
      <c r="C16" s="10"/>
      <c r="D16" s="10"/>
      <c r="E16" s="9" t="s">
        <v>8</v>
      </c>
    </row>
    <row r="17" customFormat="false" ht="15" hidden="false" customHeight="false" outlineLevel="0" collapsed="false">
      <c r="A17" s="9" t="s">
        <v>82</v>
      </c>
      <c r="B17" s="10"/>
      <c r="C17" s="10"/>
      <c r="D17" s="10"/>
      <c r="E17" s="9" t="s">
        <v>8</v>
      </c>
    </row>
    <row r="18" customFormat="false" ht="15" hidden="false" customHeight="false" outlineLevel="0" collapsed="false">
      <c r="A18" s="9" t="s">
        <v>83</v>
      </c>
      <c r="B18" s="10"/>
      <c r="C18" s="10"/>
      <c r="D18" s="10"/>
      <c r="E18" s="9" t="s">
        <v>8</v>
      </c>
    </row>
    <row r="19" customFormat="false" ht="15" hidden="false" customHeight="false" outlineLevel="0" collapsed="false">
      <c r="A19" s="9" t="s">
        <v>84</v>
      </c>
      <c r="B19" s="10"/>
      <c r="C19" s="10"/>
      <c r="D19" s="10"/>
      <c r="E19" s="9" t="s">
        <v>8</v>
      </c>
    </row>
    <row r="20" customFormat="false" ht="15" hidden="false" customHeight="false" outlineLevel="0" collapsed="false">
      <c r="A20" s="9" t="s">
        <v>85</v>
      </c>
      <c r="B20" s="10"/>
      <c r="C20" s="10"/>
      <c r="D20" s="10"/>
      <c r="E20" s="9" t="s">
        <v>8</v>
      </c>
    </row>
    <row r="21" customFormat="false" ht="15" hidden="false" customHeight="false" outlineLevel="0" collapsed="false">
      <c r="A21" s="9" t="s">
        <v>86</v>
      </c>
      <c r="B21" s="10"/>
      <c r="C21" s="10"/>
      <c r="D21" s="10"/>
      <c r="E21" s="9" t="s">
        <v>8</v>
      </c>
    </row>
    <row r="22" customFormat="false" ht="15" hidden="false" customHeight="false" outlineLevel="0" collapsed="false">
      <c r="A22" s="9" t="s">
        <v>87</v>
      </c>
      <c r="B22" s="10"/>
      <c r="C22" s="10"/>
      <c r="D22" s="10"/>
      <c r="E22" s="9" t="s">
        <v>8</v>
      </c>
    </row>
    <row r="23" customFormat="false" ht="15" hidden="false" customHeight="false" outlineLevel="0" collapsed="false">
      <c r="A23" s="9" t="s">
        <v>88</v>
      </c>
      <c r="B23" s="10"/>
      <c r="C23" s="10"/>
      <c r="D23" s="10"/>
      <c r="E23" s="9" t="s">
        <v>8</v>
      </c>
    </row>
    <row r="24" customFormat="false" ht="15" hidden="false" customHeight="false" outlineLevel="0" collapsed="false">
      <c r="A24" s="9" t="s">
        <v>89</v>
      </c>
      <c r="B24" s="10"/>
      <c r="C24" s="10"/>
      <c r="D24" s="10"/>
      <c r="E24" s="9" t="s">
        <v>8</v>
      </c>
    </row>
    <row r="25" customFormat="false" ht="15" hidden="false" customHeight="false" outlineLevel="0" collapsed="false">
      <c r="A25" s="9" t="s">
        <v>90</v>
      </c>
      <c r="B25" s="10"/>
      <c r="C25" s="10"/>
      <c r="D25" s="10"/>
      <c r="E25" s="9" t="s">
        <v>8</v>
      </c>
    </row>
    <row r="26" customFormat="false" ht="15" hidden="false" customHeight="false" outlineLevel="0" collapsed="false">
      <c r="A26" s="9" t="s">
        <v>91</v>
      </c>
      <c r="B26" s="10"/>
      <c r="C26" s="10"/>
      <c r="D26" s="10"/>
      <c r="E26" s="9" t="s">
        <v>8</v>
      </c>
    </row>
    <row r="27" customFormat="false" ht="15" hidden="false" customHeight="false" outlineLevel="0" collapsed="false">
      <c r="A27" s="9" t="s">
        <v>92</v>
      </c>
      <c r="B27" s="10"/>
      <c r="C27" s="10"/>
      <c r="D27" s="10"/>
      <c r="E27" s="9" t="s">
        <v>8</v>
      </c>
    </row>
    <row r="28" customFormat="false" ht="15" hidden="false" customHeight="false" outlineLevel="0" collapsed="false">
      <c r="A28" s="9" t="s">
        <v>93</v>
      </c>
      <c r="B28" s="10"/>
      <c r="C28" s="10"/>
      <c r="D28" s="10"/>
      <c r="E28" s="9" t="s">
        <v>8</v>
      </c>
    </row>
    <row r="29" customFormat="false" ht="15" hidden="false" customHeight="false" outlineLevel="0" collapsed="false">
      <c r="A29" s="9" t="s">
        <v>94</v>
      </c>
      <c r="B29" s="10"/>
      <c r="C29" s="10"/>
      <c r="D29" s="10"/>
      <c r="E29" s="9" t="s">
        <v>8</v>
      </c>
    </row>
    <row r="30" customFormat="false" ht="15" hidden="false" customHeight="false" outlineLevel="0" collapsed="false">
      <c r="A30" s="9" t="s">
        <v>95</v>
      </c>
      <c r="B30" s="10"/>
      <c r="C30" s="10"/>
      <c r="D30" s="10"/>
      <c r="E30" s="9" t="s">
        <v>8</v>
      </c>
    </row>
    <row r="31" customFormat="false" ht="15" hidden="false" customHeight="false" outlineLevel="0" collapsed="false">
      <c r="A31" s="9" t="s">
        <v>96</v>
      </c>
      <c r="B31" s="10"/>
      <c r="C31" s="10"/>
      <c r="D31" s="10"/>
      <c r="E31" s="9" t="s">
        <v>8</v>
      </c>
    </row>
    <row r="32" customFormat="false" ht="15" hidden="false" customHeight="false" outlineLevel="0" collapsed="false">
      <c r="A32" s="10"/>
      <c r="B32" s="10"/>
      <c r="C32" s="10"/>
      <c r="D32" s="10"/>
      <c r="E32" s="11" t="s">
        <v>97</v>
      </c>
    </row>
    <row r="33" customFormat="false" ht="15" hidden="false" customHeight="false" outlineLevel="0" collapsed="false">
      <c r="A33" s="10"/>
      <c r="B33" s="10"/>
      <c r="C33" s="10"/>
      <c r="D33" s="10"/>
      <c r="E33" s="11" t="s">
        <v>97</v>
      </c>
    </row>
    <row r="34" customFormat="false" ht="15" hidden="false" customHeight="false" outlineLevel="0" collapsed="false">
      <c r="A34" s="10"/>
      <c r="B34" s="10"/>
      <c r="C34" s="10"/>
      <c r="D34" s="10"/>
      <c r="E34" s="11" t="s">
        <v>97</v>
      </c>
    </row>
    <row r="35" customFormat="false" ht="15" hidden="false" customHeight="false" outlineLevel="0" collapsed="false">
      <c r="A35" s="10"/>
      <c r="B35" s="10"/>
      <c r="C35" s="10"/>
      <c r="D35" s="10"/>
      <c r="E35" s="11" t="s">
        <v>97</v>
      </c>
    </row>
    <row r="36" customFormat="false" ht="15" hidden="false" customHeight="false" outlineLevel="0" collapsed="false">
      <c r="A36" s="10"/>
      <c r="B36" s="10"/>
      <c r="C36" s="10"/>
      <c r="D36" s="10"/>
      <c r="E36" s="11" t="s">
        <v>97</v>
      </c>
    </row>
    <row r="37" customFormat="false" ht="15" hidden="false" customHeight="false" outlineLevel="0" collapsed="false">
      <c r="A37" s="10"/>
      <c r="B37" s="10"/>
      <c r="C37" s="10"/>
      <c r="D37" s="10"/>
      <c r="E37" s="11" t="s">
        <v>97</v>
      </c>
    </row>
    <row r="38" customFormat="false" ht="15" hidden="false" customHeight="false" outlineLevel="0" collapsed="false">
      <c r="A38" s="10"/>
      <c r="B38" s="10"/>
      <c r="C38" s="10"/>
      <c r="D38" s="10"/>
      <c r="E38" s="11" t="s">
        <v>97</v>
      </c>
    </row>
    <row r="39" customFormat="false" ht="15" hidden="false" customHeight="false" outlineLevel="0" collapsed="false">
      <c r="A39" s="10"/>
      <c r="B39" s="10"/>
      <c r="C39" s="10"/>
      <c r="D39" s="10"/>
      <c r="E39" s="11" t="s">
        <v>97</v>
      </c>
    </row>
    <row r="40" customFormat="false" ht="15" hidden="false" customHeight="false" outlineLevel="0" collapsed="false">
      <c r="A40" s="10"/>
      <c r="B40" s="10"/>
      <c r="C40" s="10"/>
      <c r="D40" s="10"/>
      <c r="E40" s="11" t="s">
        <v>97</v>
      </c>
    </row>
    <row r="41" customFormat="false" ht="15" hidden="false" customHeight="false" outlineLevel="0" collapsed="false">
      <c r="A41" s="10"/>
      <c r="B41" s="10"/>
      <c r="C41" s="10"/>
      <c r="D41" s="10"/>
      <c r="E41" s="11" t="s">
        <v>97</v>
      </c>
    </row>
    <row r="42" customFormat="false" ht="15" hidden="false" customHeight="false" outlineLevel="0" collapsed="false">
      <c r="A42" s="10"/>
      <c r="B42" s="10"/>
      <c r="C42" s="10"/>
      <c r="D42" s="10"/>
      <c r="E42" s="11" t="s">
        <v>97</v>
      </c>
    </row>
    <row r="43" customFormat="false" ht="15" hidden="false" customHeight="false" outlineLevel="0" collapsed="false">
      <c r="A43" s="10"/>
      <c r="B43" s="10"/>
      <c r="C43" s="10"/>
      <c r="D43" s="10"/>
      <c r="E43" s="11" t="s">
        <v>97</v>
      </c>
    </row>
    <row r="44" customFormat="false" ht="15" hidden="false" customHeight="false" outlineLevel="0" collapsed="false">
      <c r="A44" s="10"/>
      <c r="B44" s="10"/>
      <c r="C44" s="10"/>
      <c r="D44" s="10"/>
      <c r="E44" s="11" t="s">
        <v>97</v>
      </c>
    </row>
    <row r="45" customFormat="false" ht="15" hidden="false" customHeight="false" outlineLevel="0" collapsed="false">
      <c r="A45" s="10"/>
      <c r="B45" s="10"/>
      <c r="C45" s="10"/>
      <c r="D45" s="10"/>
      <c r="E45" s="11" t="s">
        <v>97</v>
      </c>
    </row>
    <row r="46" customFormat="false" ht="15" hidden="false" customHeight="false" outlineLevel="0" collapsed="false">
      <c r="A46" s="10"/>
      <c r="B46" s="10"/>
      <c r="C46" s="10"/>
      <c r="D46" s="10"/>
      <c r="E46" s="11" t="s">
        <v>97</v>
      </c>
    </row>
  </sheetData>
  <dataValidations count="2">
    <dataValidation allowBlank="true" errorStyle="stop" operator="between" showDropDown="false" showErrorMessage="false" showInputMessage="false" sqref="C2:C46" type="list">
      <formula1>Listas!$G$2:$G$3</formula1>
      <formula2>0</formula2>
    </dataValidation>
    <dataValidation allowBlank="true" errorStyle="stop" operator="between" showDropDown="false" showErrorMessage="false" showInputMessage="false" sqref="D2:D46" type="list">
      <formula1>Listas!$H$2:$H$3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8" t="s">
        <v>98</v>
      </c>
      <c r="B1" s="8" t="s">
        <v>99</v>
      </c>
      <c r="C1" s="8" t="s">
        <v>100</v>
      </c>
      <c r="D1" s="8" t="s">
        <v>101</v>
      </c>
      <c r="E1" s="8" t="s">
        <v>102</v>
      </c>
      <c r="F1" s="8" t="s">
        <v>103</v>
      </c>
      <c r="G1" s="8" t="s">
        <v>104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4" t="n">
        <v>0.376388888888889</v>
      </c>
      <c r="E2" s="14" t="n">
        <v>0.381597222222222</v>
      </c>
      <c r="F2" s="15" t="n">
        <f aca="false">(E2-D2)*1440</f>
        <v>7.5</v>
      </c>
      <c r="G2" s="12" t="s">
        <v>107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7"/>
      <c r="E3" s="17"/>
      <c r="F3" s="18" t="str">
        <f aca="false">IF(OR(D3="",E3=""),"",(E3-D3)*1440)</f>
        <v/>
      </c>
      <c r="G3" s="19" t="s">
        <v>107</v>
      </c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7"/>
      <c r="E4" s="17"/>
      <c r="F4" s="18" t="str">
        <f aca="false">IF(OR(D4="",E4=""),"",(E4-D4)*1440)</f>
        <v/>
      </c>
      <c r="G4" s="19" t="s">
        <v>107</v>
      </c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7"/>
      <c r="E5" s="17"/>
      <c r="F5" s="18" t="str">
        <f aca="false">IF(OR(D5="",E5=""),"",(E5-D5)*1440)</f>
        <v/>
      </c>
      <c r="G5" s="19" t="s">
        <v>107</v>
      </c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7"/>
      <c r="E6" s="17"/>
      <c r="F6" s="18" t="str">
        <f aca="false">IF(OR(D6="",E6=""),"",(E6-D6)*1440)</f>
        <v/>
      </c>
      <c r="G6" s="19" t="s">
        <v>107</v>
      </c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7"/>
      <c r="E7" s="17"/>
      <c r="F7" s="18" t="str">
        <f aca="false">IF(OR(D7="",E7=""),"",(E7-D7)*1440)</f>
        <v/>
      </c>
      <c r="G7" s="19" t="s">
        <v>107</v>
      </c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7"/>
      <c r="E8" s="17"/>
      <c r="F8" s="18" t="str">
        <f aca="false">IF(OR(D8="",E8=""),"",(E8-D8)*1440)</f>
        <v/>
      </c>
      <c r="G8" s="19" t="s">
        <v>107</v>
      </c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7"/>
      <c r="E9" s="17"/>
      <c r="F9" s="18" t="str">
        <f aca="false">IF(OR(D9="",E9=""),"",(E9-D9)*1440)</f>
        <v/>
      </c>
      <c r="G9" s="19" t="s">
        <v>107</v>
      </c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7"/>
      <c r="E10" s="17"/>
      <c r="F10" s="18" t="str">
        <f aca="false">IF(OR(D10="",E10=""),"",(E10-D10)*1440)</f>
        <v/>
      </c>
      <c r="G10" s="19" t="s">
        <v>107</v>
      </c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7"/>
      <c r="E11" s="17"/>
      <c r="F11" s="18" t="str">
        <f aca="false">IF(OR(D11="",E11=""),"",(E11-D11)*1440)</f>
        <v/>
      </c>
      <c r="G11" s="19" t="s">
        <v>107</v>
      </c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7"/>
      <c r="E12" s="17"/>
      <c r="F12" s="18" t="str">
        <f aca="false">IF(OR(D12="",E12=""),"",(E12-D12)*1440)</f>
        <v/>
      </c>
      <c r="G12" s="19" t="s">
        <v>107</v>
      </c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7"/>
      <c r="E13" s="17"/>
      <c r="F13" s="18" t="str">
        <f aca="false">IF(OR(D13="",E13=""),"",(E13-D13)*1440)</f>
        <v/>
      </c>
      <c r="G13" s="19" t="s">
        <v>107</v>
      </c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7"/>
      <c r="E14" s="17"/>
      <c r="F14" s="18" t="str">
        <f aca="false">IF(OR(D14="",E14=""),"",(E14-D14)*1440)</f>
        <v/>
      </c>
      <c r="G14" s="19" t="s">
        <v>107</v>
      </c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7"/>
      <c r="E15" s="17"/>
      <c r="F15" s="18" t="str">
        <f aca="false">IF(OR(D15="",E15=""),"",(E15-D15)*1440)</f>
        <v/>
      </c>
      <c r="G15" s="19" t="s">
        <v>107</v>
      </c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7"/>
      <c r="E16" s="17"/>
      <c r="F16" s="18" t="str">
        <f aca="false">IF(OR(D16="",E16=""),"",(E16-D16)*1440)</f>
        <v/>
      </c>
      <c r="G16" s="19" t="s">
        <v>107</v>
      </c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7"/>
      <c r="E17" s="17"/>
      <c r="F17" s="18" t="str">
        <f aca="false">IF(OR(D17="",E17=""),"",(E17-D17)*1440)</f>
        <v/>
      </c>
      <c r="G17" s="19" t="s">
        <v>107</v>
      </c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7"/>
      <c r="E18" s="17"/>
      <c r="F18" s="18" t="str">
        <f aca="false">IF(OR(D18="",E18=""),"",(E18-D18)*1440)</f>
        <v/>
      </c>
      <c r="G18" s="19" t="s">
        <v>107</v>
      </c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7"/>
      <c r="E19" s="17"/>
      <c r="F19" s="18" t="str">
        <f aca="false">IF(OR(D19="",E19=""),"",(E19-D19)*1440)</f>
        <v/>
      </c>
      <c r="G19" s="19" t="s">
        <v>107</v>
      </c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7"/>
      <c r="E20" s="17"/>
      <c r="F20" s="18" t="str">
        <f aca="false">IF(OR(D20="",E20=""),"",(E20-D20)*1440)</f>
        <v/>
      </c>
      <c r="G20" s="19" t="s">
        <v>107</v>
      </c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7"/>
      <c r="E21" s="17"/>
      <c r="F21" s="18" t="str">
        <f aca="false">IF(OR(D21="",E21=""),"",(E21-D21)*1440)</f>
        <v/>
      </c>
      <c r="G21" s="19" t="s">
        <v>107</v>
      </c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7"/>
      <c r="E22" s="17"/>
      <c r="F22" s="18" t="str">
        <f aca="false">IF(OR(D22="",E22=""),"",(E22-D22)*1440)</f>
        <v/>
      </c>
      <c r="G22" s="19" t="s">
        <v>107</v>
      </c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7"/>
      <c r="E23" s="17"/>
      <c r="F23" s="18" t="str">
        <f aca="false">IF(OR(D23="",E23=""),"",(E23-D23)*1440)</f>
        <v/>
      </c>
      <c r="G23" s="19" t="s">
        <v>107</v>
      </c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7"/>
      <c r="E24" s="17"/>
      <c r="F24" s="18" t="str">
        <f aca="false">IF(OR(D24="",E24=""),"",(E24-D24)*1440)</f>
        <v/>
      </c>
      <c r="G24" s="19" t="s">
        <v>107</v>
      </c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7"/>
      <c r="E25" s="17"/>
      <c r="F25" s="18" t="str">
        <f aca="false">IF(OR(D25="",E25=""),"",(E25-D25)*1440)</f>
        <v/>
      </c>
      <c r="G25" s="19" t="s">
        <v>107</v>
      </c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7"/>
      <c r="E26" s="17"/>
      <c r="F26" s="18" t="str">
        <f aca="false">IF(OR(D26="",E26=""),"",(E26-D26)*1440)</f>
        <v/>
      </c>
      <c r="G26" s="19" t="s">
        <v>107</v>
      </c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7"/>
      <c r="E27" s="17"/>
      <c r="F27" s="18" t="str">
        <f aca="false">IF(OR(D27="",E27=""),"",(E27-D27)*1440)</f>
        <v/>
      </c>
      <c r="G27" s="19" t="s">
        <v>107</v>
      </c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7"/>
      <c r="E28" s="17"/>
      <c r="F28" s="18" t="str">
        <f aca="false">IF(OR(D28="",E28=""),"",(E28-D28)*1440)</f>
        <v/>
      </c>
      <c r="G28" s="19" t="s">
        <v>107</v>
      </c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7"/>
      <c r="E29" s="17"/>
      <c r="F29" s="18" t="str">
        <f aca="false">IF(OR(D29="",E29=""),"",(E29-D29)*1440)</f>
        <v/>
      </c>
      <c r="G29" s="19" t="s">
        <v>107</v>
      </c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7"/>
      <c r="E30" s="17"/>
      <c r="F30" s="18" t="str">
        <f aca="false">IF(OR(D30="",E30=""),"",(E30-D30)*1440)</f>
        <v/>
      </c>
      <c r="G30" s="19" t="s">
        <v>107</v>
      </c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7"/>
      <c r="E31" s="17"/>
      <c r="F31" s="18" t="str">
        <f aca="false">IF(OR(D31="",E31=""),"",(E31-D31)*1440)</f>
        <v/>
      </c>
      <c r="G31" s="19" t="s">
        <v>107</v>
      </c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7"/>
      <c r="E32" s="17"/>
      <c r="F32" s="18" t="str">
        <f aca="false">IF(OR(D32="",E32=""),"",(E32-D32)*1440)</f>
        <v/>
      </c>
      <c r="G32" s="19" t="s">
        <v>107</v>
      </c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7"/>
      <c r="E33" s="17"/>
      <c r="F33" s="18" t="str">
        <f aca="false">IF(OR(D33="",E33=""),"",(E33-D33)*1440)</f>
        <v/>
      </c>
      <c r="G33" s="19" t="s">
        <v>107</v>
      </c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7"/>
      <c r="E34" s="17"/>
      <c r="F34" s="18" t="str">
        <f aca="false">IF(OR(D34="",E34=""),"",(E34-D34)*1440)</f>
        <v/>
      </c>
      <c r="G34" s="19" t="s">
        <v>107</v>
      </c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7"/>
      <c r="E35" s="17"/>
      <c r="F35" s="18" t="str">
        <f aca="false">IF(OR(D35="",E35=""),"",(E35-D35)*1440)</f>
        <v/>
      </c>
      <c r="G35" s="19" t="s">
        <v>107</v>
      </c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7"/>
      <c r="E36" s="17"/>
      <c r="F36" s="18" t="str">
        <f aca="false">IF(OR(D36="",E36=""),"",(E36-D36)*1440)</f>
        <v/>
      </c>
      <c r="G36" s="19" t="s">
        <v>107</v>
      </c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7"/>
      <c r="E37" s="17"/>
      <c r="F37" s="18" t="str">
        <f aca="false">IF(OR(D37="",E37=""),"",(E37-D37)*1440)</f>
        <v/>
      </c>
      <c r="G37" s="19" t="s">
        <v>107</v>
      </c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7"/>
      <c r="E38" s="17"/>
      <c r="F38" s="18" t="str">
        <f aca="false">IF(OR(D38="",E38=""),"",(E38-D38)*1440)</f>
        <v/>
      </c>
      <c r="G38" s="19" t="s">
        <v>107</v>
      </c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7"/>
      <c r="E39" s="17"/>
      <c r="F39" s="18" t="str">
        <f aca="false">IF(OR(D39="",E39=""),"",(E39-D39)*1440)</f>
        <v/>
      </c>
      <c r="G39" s="19" t="s">
        <v>107</v>
      </c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7"/>
      <c r="E40" s="17"/>
      <c r="F40" s="18" t="str">
        <f aca="false">IF(OR(D40="",E40=""),"",(E40-D40)*1440)</f>
        <v/>
      </c>
      <c r="G40" s="19" t="s">
        <v>107</v>
      </c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7"/>
      <c r="E41" s="17"/>
      <c r="F41" s="18" t="str">
        <f aca="false">IF(OR(D41="",E41=""),"",(E41-D41)*1440)</f>
        <v/>
      </c>
      <c r="G41" s="19" t="s">
        <v>107</v>
      </c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7"/>
      <c r="E42" s="17"/>
      <c r="F42" s="18" t="str">
        <f aca="false">IF(OR(D42="",E42=""),"",(E42-D42)*1440)</f>
        <v/>
      </c>
      <c r="G42" s="19" t="s">
        <v>107</v>
      </c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7"/>
      <c r="E43" s="17"/>
      <c r="F43" s="18" t="str">
        <f aca="false">IF(OR(D43="",E43=""),"",(E43-D43)*1440)</f>
        <v/>
      </c>
      <c r="G43" s="19" t="s">
        <v>107</v>
      </c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7"/>
      <c r="E44" s="17"/>
      <c r="F44" s="18" t="str">
        <f aca="false">IF(OR(D44="",E44=""),"",(E44-D44)*1440)</f>
        <v/>
      </c>
      <c r="G44" s="19" t="s">
        <v>107</v>
      </c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7"/>
      <c r="E45" s="17"/>
      <c r="F45" s="18" t="str">
        <f aca="false">IF(OR(D45="",E45=""),"",(E45-D45)*1440)</f>
        <v/>
      </c>
      <c r="G45" s="19" t="s">
        <v>107</v>
      </c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7"/>
      <c r="E46" s="17"/>
      <c r="F46" s="18" t="str">
        <f aca="false">IF(OR(D46="",E46=""),"",(E46-D46)*1440)</f>
        <v/>
      </c>
      <c r="G46" s="19" t="s">
        <v>107</v>
      </c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7"/>
      <c r="E47" s="17"/>
      <c r="F47" s="18" t="str">
        <f aca="false">IF(OR(D47="",E47=""),"",(E47-D47)*1440)</f>
        <v/>
      </c>
      <c r="G47" s="19" t="s">
        <v>107</v>
      </c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7"/>
      <c r="E48" s="17"/>
      <c r="F48" s="18" t="str">
        <f aca="false">IF(OR(D48="",E48=""),"",(E48-D48)*1440)</f>
        <v/>
      </c>
      <c r="G48" s="19" t="s">
        <v>107</v>
      </c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7"/>
      <c r="E49" s="17"/>
      <c r="F49" s="18" t="str">
        <f aca="false">IF(OR(D49="",E49=""),"",(E49-D49)*1440)</f>
        <v/>
      </c>
      <c r="G49" s="19" t="s">
        <v>107</v>
      </c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7"/>
      <c r="E50" s="17"/>
      <c r="F50" s="18" t="str">
        <f aca="false">IF(OR(D50="",E50=""),"",(E50-D50)*1440)</f>
        <v/>
      </c>
      <c r="G50" s="19" t="s">
        <v>107</v>
      </c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7"/>
      <c r="E51" s="17"/>
      <c r="F51" s="18" t="str">
        <f aca="false">IF(OR(D51="",E51=""),"",(E51-D51)*1440)</f>
        <v/>
      </c>
      <c r="G51" s="19" t="s">
        <v>107</v>
      </c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7"/>
      <c r="E52" s="17"/>
      <c r="F52" s="18" t="str">
        <f aca="false">IF(OR(D52="",E52=""),"",(E52-D52)*1440)</f>
        <v/>
      </c>
      <c r="G52" s="19" t="s">
        <v>107</v>
      </c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7"/>
      <c r="E53" s="17"/>
      <c r="F53" s="18" t="str">
        <f aca="false">IF(OR(D53="",E53=""),"",(E53-D53)*1440)</f>
        <v/>
      </c>
      <c r="G53" s="19" t="s">
        <v>107</v>
      </c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7"/>
      <c r="E54" s="17"/>
      <c r="F54" s="18" t="str">
        <f aca="false">IF(OR(D54="",E54=""),"",(E54-D54)*1440)</f>
        <v/>
      </c>
      <c r="G54" s="19" t="s">
        <v>107</v>
      </c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7"/>
      <c r="E55" s="17"/>
      <c r="F55" s="18" t="str">
        <f aca="false">IF(OR(D55="",E55=""),"",(E55-D55)*1440)</f>
        <v/>
      </c>
      <c r="G55" s="19" t="s">
        <v>107</v>
      </c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7"/>
      <c r="E56" s="17"/>
      <c r="F56" s="18" t="str">
        <f aca="false">IF(OR(D56="",E56=""),"",(E56-D56)*1440)</f>
        <v/>
      </c>
      <c r="G56" s="19" t="s">
        <v>107</v>
      </c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7"/>
      <c r="E57" s="17"/>
      <c r="F57" s="18" t="str">
        <f aca="false">IF(OR(D57="",E57=""),"",(E57-D57)*1440)</f>
        <v/>
      </c>
      <c r="G57" s="19" t="s">
        <v>107</v>
      </c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7"/>
      <c r="E58" s="17"/>
      <c r="F58" s="18" t="str">
        <f aca="false">IF(OR(D58="",E58=""),"",(E58-D58)*1440)</f>
        <v/>
      </c>
      <c r="G58" s="19" t="s">
        <v>107</v>
      </c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7"/>
      <c r="E59" s="17"/>
      <c r="F59" s="18" t="str">
        <f aca="false">IF(OR(D59="",E59=""),"",(E59-D59)*1440)</f>
        <v/>
      </c>
      <c r="G59" s="19" t="s">
        <v>107</v>
      </c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7"/>
      <c r="E60" s="17"/>
      <c r="F60" s="18" t="str">
        <f aca="false">IF(OR(D60="",E60=""),"",(E60-D60)*1440)</f>
        <v/>
      </c>
      <c r="G60" s="19" t="s">
        <v>107</v>
      </c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7"/>
      <c r="E61" s="17"/>
      <c r="F61" s="18" t="str">
        <f aca="false">IF(OR(D61="",E61=""),"",(E61-D61)*1440)</f>
        <v/>
      </c>
      <c r="G61" s="19" t="s">
        <v>107</v>
      </c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7"/>
      <c r="E62" s="17"/>
      <c r="F62" s="18" t="str">
        <f aca="false">IF(OR(D62="",E62=""),"",(E62-D62)*1440)</f>
        <v/>
      </c>
      <c r="G62" s="19" t="s">
        <v>107</v>
      </c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7"/>
      <c r="E63" s="17"/>
      <c r="F63" s="18" t="str">
        <f aca="false">IF(OR(D63="",E63=""),"",(E63-D63)*1440)</f>
        <v/>
      </c>
      <c r="G63" s="19" t="s">
        <v>107</v>
      </c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7"/>
      <c r="E64" s="17"/>
      <c r="F64" s="18" t="str">
        <f aca="false">IF(OR(D64="",E64=""),"",(E64-D64)*1440)</f>
        <v/>
      </c>
      <c r="G64" s="19" t="s">
        <v>107</v>
      </c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7"/>
      <c r="E65" s="17"/>
      <c r="F65" s="18" t="str">
        <f aca="false">IF(OR(D65="",E65=""),"",(E65-D65)*1440)</f>
        <v/>
      </c>
      <c r="G65" s="19" t="s">
        <v>107</v>
      </c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7"/>
      <c r="E66" s="17"/>
      <c r="F66" s="18" t="str">
        <f aca="false">IF(OR(D66="",E66=""),"",(E66-D66)*1440)</f>
        <v/>
      </c>
      <c r="G66" s="19" t="s">
        <v>107</v>
      </c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7"/>
      <c r="E67" s="17"/>
      <c r="F67" s="18" t="str">
        <f aca="false">IF(OR(D67="",E67=""),"",(E67-D67)*1440)</f>
        <v/>
      </c>
      <c r="G67" s="19" t="s">
        <v>107</v>
      </c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7"/>
      <c r="E68" s="17"/>
      <c r="F68" s="18" t="str">
        <f aca="false">IF(OR(D68="",E68=""),"",(E68-D68)*1440)</f>
        <v/>
      </c>
      <c r="G68" s="19" t="s">
        <v>107</v>
      </c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7"/>
      <c r="E69" s="17"/>
      <c r="F69" s="18" t="str">
        <f aca="false">IF(OR(D69="",E69=""),"",(E69-D69)*1440)</f>
        <v/>
      </c>
      <c r="G69" s="19" t="s">
        <v>107</v>
      </c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7"/>
      <c r="E70" s="17"/>
      <c r="F70" s="18" t="str">
        <f aca="false">IF(OR(D70="",E70=""),"",(E70-D70)*1440)</f>
        <v/>
      </c>
      <c r="G70" s="19" t="s">
        <v>107</v>
      </c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7"/>
      <c r="E71" s="17"/>
      <c r="F71" s="18" t="str">
        <f aca="false">IF(OR(D71="",E71=""),"",(E71-D71)*1440)</f>
        <v/>
      </c>
      <c r="G71" s="19" t="s">
        <v>107</v>
      </c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7"/>
      <c r="E72" s="17"/>
      <c r="F72" s="18" t="str">
        <f aca="false">IF(OR(D72="",E72=""),"",(E72-D72)*1440)</f>
        <v/>
      </c>
      <c r="G72" s="19" t="s">
        <v>107</v>
      </c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7"/>
      <c r="E73" s="17"/>
      <c r="F73" s="18" t="str">
        <f aca="false">IF(OR(D73="",E73=""),"",(E73-D73)*1440)</f>
        <v/>
      </c>
      <c r="G73" s="19" t="s">
        <v>107</v>
      </c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7"/>
      <c r="E74" s="17"/>
      <c r="F74" s="18" t="str">
        <f aca="false">IF(OR(D74="",E74=""),"",(E74-D74)*1440)</f>
        <v/>
      </c>
      <c r="G74" s="19" t="s">
        <v>107</v>
      </c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7"/>
      <c r="E75" s="17"/>
      <c r="F75" s="18" t="str">
        <f aca="false">IF(OR(D75="",E75=""),"",(E75-D75)*1440)</f>
        <v/>
      </c>
      <c r="G75" s="19" t="s">
        <v>107</v>
      </c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7"/>
      <c r="E76" s="17"/>
      <c r="F76" s="18" t="str">
        <f aca="false">IF(OR(D76="",E76=""),"",(E76-D76)*1440)</f>
        <v/>
      </c>
      <c r="G76" s="19" t="s">
        <v>107</v>
      </c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7"/>
      <c r="E77" s="17"/>
      <c r="F77" s="18" t="str">
        <f aca="false">IF(OR(D77="",E77=""),"",(E77-D77)*1440)</f>
        <v/>
      </c>
      <c r="G77" s="19" t="s">
        <v>107</v>
      </c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7"/>
      <c r="E78" s="17"/>
      <c r="F78" s="18" t="str">
        <f aca="false">IF(OR(D78="",E78=""),"",(E78-D78)*1440)</f>
        <v/>
      </c>
      <c r="G78" s="19" t="s">
        <v>107</v>
      </c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7"/>
      <c r="E79" s="17"/>
      <c r="F79" s="18" t="str">
        <f aca="false">IF(OR(D79="",E79=""),"",(E79-D79)*1440)</f>
        <v/>
      </c>
      <c r="G79" s="19" t="s">
        <v>107</v>
      </c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7"/>
      <c r="E80" s="17"/>
      <c r="F80" s="18" t="str">
        <f aca="false">IF(OR(D80="",E80=""),"",(E80-D80)*1440)</f>
        <v/>
      </c>
      <c r="G80" s="19" t="s">
        <v>107</v>
      </c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7"/>
      <c r="E81" s="17"/>
      <c r="F81" s="18" t="str">
        <f aca="false">IF(OR(D81="",E81=""),"",(E81-D81)*1440)</f>
        <v/>
      </c>
      <c r="G81" s="19" t="s">
        <v>107</v>
      </c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7"/>
      <c r="E82" s="17"/>
      <c r="F82" s="18" t="str">
        <f aca="false">IF(OR(D82="",E82=""),"",(E82-D82)*1440)</f>
        <v/>
      </c>
      <c r="G82" s="19" t="s">
        <v>107</v>
      </c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7"/>
      <c r="E83" s="17"/>
      <c r="F83" s="18" t="str">
        <f aca="false">IF(OR(D83="",E83=""),"",(E83-D83)*1440)</f>
        <v/>
      </c>
      <c r="G83" s="19" t="s">
        <v>107</v>
      </c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7"/>
      <c r="E84" s="17"/>
      <c r="F84" s="18" t="str">
        <f aca="false">IF(OR(D84="",E84=""),"",(E84-D84)*1440)</f>
        <v/>
      </c>
      <c r="G84" s="19" t="s">
        <v>107</v>
      </c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7"/>
      <c r="E85" s="17"/>
      <c r="F85" s="18" t="str">
        <f aca="false">IF(OR(D85="",E85=""),"",(E85-D85)*1440)</f>
        <v/>
      </c>
      <c r="G85" s="19" t="s">
        <v>107</v>
      </c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7"/>
      <c r="E86" s="17"/>
      <c r="F86" s="18" t="str">
        <f aca="false">IF(OR(D86="",E86=""),"",(E86-D86)*1440)</f>
        <v/>
      </c>
      <c r="G86" s="19" t="s">
        <v>107</v>
      </c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7"/>
      <c r="E87" s="17"/>
      <c r="F87" s="18" t="str">
        <f aca="false">IF(OR(D87="",E87=""),"",(E87-D87)*1440)</f>
        <v/>
      </c>
      <c r="G87" s="19" t="s">
        <v>107</v>
      </c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7"/>
      <c r="E88" s="17"/>
      <c r="F88" s="18" t="str">
        <f aca="false">IF(OR(D88="",E88=""),"",(E88-D88)*1440)</f>
        <v/>
      </c>
      <c r="G88" s="19" t="s">
        <v>107</v>
      </c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7"/>
      <c r="E89" s="17"/>
      <c r="F89" s="18" t="str">
        <f aca="false">IF(OR(D89="",E89=""),"",(E89-D89)*1440)</f>
        <v/>
      </c>
      <c r="G89" s="19" t="s">
        <v>107</v>
      </c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7"/>
      <c r="E90" s="17"/>
      <c r="F90" s="18" t="str">
        <f aca="false">IF(OR(D90="",E90=""),"",(E90-D90)*1440)</f>
        <v/>
      </c>
      <c r="G90" s="19" t="s">
        <v>107</v>
      </c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7"/>
      <c r="E91" s="17"/>
      <c r="F91" s="18" t="str">
        <f aca="false">IF(OR(D91="",E91=""),"",(E91-D91)*1440)</f>
        <v/>
      </c>
      <c r="G91" s="19" t="s">
        <v>107</v>
      </c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7"/>
      <c r="E92" s="17"/>
      <c r="F92" s="18" t="str">
        <f aca="false">IF(OR(D92="",E92=""),"",(E92-D92)*1440)</f>
        <v/>
      </c>
      <c r="G92" s="19" t="s">
        <v>107</v>
      </c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7"/>
      <c r="E93" s="17"/>
      <c r="F93" s="18" t="str">
        <f aca="false">IF(OR(D93="",E93=""),"",(E93-D93)*1440)</f>
        <v/>
      </c>
      <c r="G93" s="19" t="s">
        <v>107</v>
      </c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7"/>
      <c r="E94" s="17"/>
      <c r="F94" s="18" t="str">
        <f aca="false">IF(OR(D94="",E94=""),"",(E94-D94)*1440)</f>
        <v/>
      </c>
      <c r="G94" s="19" t="s">
        <v>107</v>
      </c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7"/>
      <c r="E95" s="17"/>
      <c r="F95" s="18" t="str">
        <f aca="false">IF(OR(D95="",E95=""),"",(E95-D95)*1440)</f>
        <v/>
      </c>
      <c r="G95" s="19" t="s">
        <v>107</v>
      </c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7"/>
      <c r="E96" s="17"/>
      <c r="F96" s="18" t="str">
        <f aca="false">IF(OR(D96="",E96=""),"",(E96-D96)*1440)</f>
        <v/>
      </c>
      <c r="G96" s="19" t="s">
        <v>107</v>
      </c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7"/>
      <c r="E97" s="17"/>
      <c r="F97" s="18" t="str">
        <f aca="false">IF(OR(D97="",E97=""),"",(E97-D97)*1440)</f>
        <v/>
      </c>
      <c r="G97" s="19" t="s">
        <v>107</v>
      </c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7"/>
      <c r="E98" s="17"/>
      <c r="F98" s="18" t="str">
        <f aca="false">IF(OR(D98="",E98=""),"",(E98-D98)*1440)</f>
        <v/>
      </c>
      <c r="G98" s="19" t="s">
        <v>107</v>
      </c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7"/>
      <c r="E99" s="17"/>
      <c r="F99" s="18" t="str">
        <f aca="false">IF(OR(D99="",E99=""),"",(E99-D99)*1440)</f>
        <v/>
      </c>
      <c r="G99" s="19" t="s">
        <v>107</v>
      </c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7"/>
      <c r="E100" s="17"/>
      <c r="F100" s="18" t="str">
        <f aca="false">IF(OR(D100="",E100=""),"",(E100-D100)*1440)</f>
        <v/>
      </c>
      <c r="G100" s="19" t="s">
        <v>107</v>
      </c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7"/>
      <c r="E101" s="17"/>
      <c r="F101" s="18" t="str">
        <f aca="false">IF(OR(D101="",E101=""),"",(E101-D101)*1440)</f>
        <v/>
      </c>
      <c r="G101" s="19" t="s">
        <v>107</v>
      </c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7"/>
      <c r="E102" s="17"/>
      <c r="F102" s="18" t="str">
        <f aca="false">IF(OR(D102="",E102=""),"",(E102-D102)*1440)</f>
        <v/>
      </c>
      <c r="G102" s="19" t="s">
        <v>107</v>
      </c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7"/>
      <c r="E103" s="17"/>
      <c r="F103" s="18" t="str">
        <f aca="false">IF(OR(D103="",E103=""),"",(E103-D103)*1440)</f>
        <v/>
      </c>
      <c r="G103" s="19" t="s">
        <v>107</v>
      </c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7"/>
      <c r="E104" s="17"/>
      <c r="F104" s="18" t="str">
        <f aca="false">IF(OR(D104="",E104=""),"",(E104-D104)*1440)</f>
        <v/>
      </c>
      <c r="G104" s="19" t="s">
        <v>107</v>
      </c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7"/>
      <c r="E105" s="17"/>
      <c r="F105" s="18" t="str">
        <f aca="false">IF(OR(D105="",E105=""),"",(E105-D105)*1440)</f>
        <v/>
      </c>
      <c r="G105" s="19" t="s">
        <v>107</v>
      </c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7"/>
      <c r="E106" s="17"/>
      <c r="F106" s="18" t="str">
        <f aca="false">IF(OR(D106="",E106=""),"",(E106-D106)*1440)</f>
        <v/>
      </c>
      <c r="G106" s="19" t="s">
        <v>107</v>
      </c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7"/>
      <c r="E107" s="17"/>
      <c r="F107" s="18" t="str">
        <f aca="false">IF(OR(D107="",E107=""),"",(E107-D107)*1440)</f>
        <v/>
      </c>
      <c r="G107" s="19" t="s">
        <v>107</v>
      </c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7"/>
      <c r="E108" s="17"/>
      <c r="F108" s="18" t="str">
        <f aca="false">IF(OR(D108="",E108=""),"",(E108-D108)*1440)</f>
        <v/>
      </c>
      <c r="G108" s="19" t="s">
        <v>107</v>
      </c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7"/>
      <c r="E109" s="17"/>
      <c r="F109" s="18" t="str">
        <f aca="false">IF(OR(D109="",E109=""),"",(E109-D109)*1440)</f>
        <v/>
      </c>
      <c r="G109" s="19" t="s">
        <v>107</v>
      </c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7"/>
      <c r="E110" s="17"/>
      <c r="F110" s="18" t="str">
        <f aca="false">IF(OR(D110="",E110=""),"",(E110-D110)*1440)</f>
        <v/>
      </c>
      <c r="G110" s="19" t="s">
        <v>107</v>
      </c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7"/>
      <c r="E111" s="17"/>
      <c r="F111" s="18" t="str">
        <f aca="false">IF(OR(D111="",E111=""),"",(E111-D111)*1440)</f>
        <v/>
      </c>
      <c r="G111" s="19" t="s">
        <v>107</v>
      </c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7"/>
      <c r="E112" s="17"/>
      <c r="F112" s="18" t="str">
        <f aca="false">IF(OR(D112="",E112=""),"",(E112-D112)*1440)</f>
        <v/>
      </c>
      <c r="G112" s="19" t="s">
        <v>107</v>
      </c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7"/>
      <c r="E113" s="17"/>
      <c r="F113" s="18" t="str">
        <f aca="false">IF(OR(D113="",E113=""),"",(E113-D113)*1440)</f>
        <v/>
      </c>
      <c r="G113" s="19" t="s">
        <v>107</v>
      </c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7"/>
      <c r="E114" s="17"/>
      <c r="F114" s="18" t="str">
        <f aca="false">IF(OR(D114="",E114=""),"",(E114-D114)*1440)</f>
        <v/>
      </c>
      <c r="G114" s="19" t="s">
        <v>107</v>
      </c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7"/>
      <c r="E115" s="17"/>
      <c r="F115" s="18" t="str">
        <f aca="false">IF(OR(D115="",E115=""),"",(E115-D115)*1440)</f>
        <v/>
      </c>
      <c r="G115" s="19" t="s">
        <v>107</v>
      </c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7"/>
      <c r="E116" s="17"/>
      <c r="F116" s="18" t="str">
        <f aca="false">IF(OR(D116="",E116=""),"",(E116-D116)*1440)</f>
        <v/>
      </c>
      <c r="G116" s="19" t="s">
        <v>107</v>
      </c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7"/>
      <c r="E117" s="17"/>
      <c r="F117" s="18" t="str">
        <f aca="false">IF(OR(D117="",E117=""),"",(E117-D117)*1440)</f>
        <v/>
      </c>
      <c r="G117" s="19" t="s">
        <v>107</v>
      </c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7"/>
      <c r="E118" s="17"/>
      <c r="F118" s="18" t="str">
        <f aca="false">IF(OR(D118="",E118=""),"",(E118-D118)*1440)</f>
        <v/>
      </c>
      <c r="G118" s="19" t="s">
        <v>107</v>
      </c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7"/>
      <c r="E119" s="17"/>
      <c r="F119" s="18" t="str">
        <f aca="false">IF(OR(D119="",E119=""),"",(E119-D119)*1440)</f>
        <v/>
      </c>
      <c r="G119" s="19" t="s">
        <v>107</v>
      </c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7"/>
      <c r="E120" s="17"/>
      <c r="F120" s="18" t="str">
        <f aca="false">IF(OR(D120="",E120=""),"",(E120-D120)*1440)</f>
        <v/>
      </c>
      <c r="G120" s="19" t="s">
        <v>107</v>
      </c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7"/>
      <c r="E121" s="17"/>
      <c r="F121" s="18" t="str">
        <f aca="false">IF(OR(D121="",E121=""),"",(E121-D121)*1440)</f>
        <v/>
      </c>
      <c r="G121" s="19" t="s">
        <v>107</v>
      </c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7"/>
      <c r="E122" s="17"/>
      <c r="F122" s="18" t="str">
        <f aca="false">IF(OR(D122="",E122=""),"",(E122-D122)*1440)</f>
        <v/>
      </c>
      <c r="G122" s="19" t="s">
        <v>107</v>
      </c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7"/>
      <c r="E123" s="17"/>
      <c r="F123" s="18" t="str">
        <f aca="false">IF(OR(D123="",E123=""),"",(E123-D123)*1440)</f>
        <v/>
      </c>
      <c r="G123" s="19" t="s">
        <v>107</v>
      </c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7"/>
      <c r="E124" s="17"/>
      <c r="F124" s="18" t="str">
        <f aca="false">IF(OR(D124="",E124=""),"",(E124-D124)*1440)</f>
        <v/>
      </c>
      <c r="G124" s="19" t="s">
        <v>107</v>
      </c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7"/>
      <c r="E125" s="17"/>
      <c r="F125" s="18" t="str">
        <f aca="false">IF(OR(D125="",E125=""),"",(E125-D125)*1440)</f>
        <v/>
      </c>
      <c r="G125" s="19" t="s">
        <v>107</v>
      </c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7"/>
      <c r="E126" s="17"/>
      <c r="F126" s="18" t="str">
        <f aca="false">IF(OR(D126="",E126=""),"",(E126-D126)*1440)</f>
        <v/>
      </c>
      <c r="G126" s="19" t="s">
        <v>107</v>
      </c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7"/>
      <c r="E127" s="17"/>
      <c r="F127" s="18" t="str">
        <f aca="false">IF(OR(D127="",E127=""),"",(E127-D127)*1440)</f>
        <v/>
      </c>
      <c r="G127" s="19" t="s">
        <v>107</v>
      </c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7"/>
      <c r="E128" s="17"/>
      <c r="F128" s="18" t="str">
        <f aca="false">IF(OR(D128="",E128=""),"",(E128-D128)*1440)</f>
        <v/>
      </c>
      <c r="G128" s="19" t="s">
        <v>107</v>
      </c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7"/>
      <c r="E129" s="17"/>
      <c r="F129" s="18" t="str">
        <f aca="false">IF(OR(D129="",E129=""),"",(E129-D129)*1440)</f>
        <v/>
      </c>
      <c r="G129" s="19" t="s">
        <v>107</v>
      </c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7"/>
      <c r="E130" s="17"/>
      <c r="F130" s="18" t="str">
        <f aca="false">IF(OR(D130="",E130=""),"",(E130-D130)*1440)</f>
        <v/>
      </c>
      <c r="G130" s="19" t="s">
        <v>107</v>
      </c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7"/>
      <c r="E131" s="17"/>
      <c r="F131" s="18" t="str">
        <f aca="false">IF(OR(D131="",E131=""),"",(E131-D131)*1440)</f>
        <v/>
      </c>
      <c r="G131" s="19" t="s">
        <v>107</v>
      </c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7"/>
      <c r="E132" s="17"/>
      <c r="F132" s="18" t="str">
        <f aca="false">IF(OR(D132="",E132=""),"",(E132-D132)*1440)</f>
        <v/>
      </c>
      <c r="G132" s="19" t="s">
        <v>107</v>
      </c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7"/>
      <c r="E133" s="17"/>
      <c r="F133" s="18" t="str">
        <f aca="false">IF(OR(D133="",E133=""),"",(E133-D133)*1440)</f>
        <v/>
      </c>
      <c r="G133" s="19" t="s">
        <v>107</v>
      </c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7"/>
      <c r="E134" s="17"/>
      <c r="F134" s="18" t="str">
        <f aca="false">IF(OR(D134="",E134=""),"",(E134-D134)*1440)</f>
        <v/>
      </c>
      <c r="G134" s="19" t="s">
        <v>107</v>
      </c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7"/>
      <c r="E135" s="17"/>
      <c r="F135" s="18" t="str">
        <f aca="false">IF(OR(D135="",E135=""),"",(E135-D135)*1440)</f>
        <v/>
      </c>
      <c r="G135" s="19" t="s">
        <v>107</v>
      </c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7"/>
      <c r="E136" s="17"/>
      <c r="F136" s="18" t="str">
        <f aca="false">IF(OR(D136="",E136=""),"",(E136-D136)*1440)</f>
        <v/>
      </c>
      <c r="G136" s="19" t="s">
        <v>107</v>
      </c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7"/>
      <c r="E137" s="17"/>
      <c r="F137" s="18" t="str">
        <f aca="false">IF(OR(D137="",E137=""),"",(E137-D137)*1440)</f>
        <v/>
      </c>
      <c r="G137" s="19" t="s">
        <v>107</v>
      </c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7"/>
      <c r="E138" s="17"/>
      <c r="F138" s="18" t="str">
        <f aca="false">IF(OR(D138="",E138=""),"",(E138-D138)*1440)</f>
        <v/>
      </c>
      <c r="G138" s="19" t="s">
        <v>107</v>
      </c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7"/>
      <c r="E139" s="17"/>
      <c r="F139" s="18" t="str">
        <f aca="false">IF(OR(D139="",E139=""),"",(E139-D139)*1440)</f>
        <v/>
      </c>
      <c r="G139" s="19" t="s">
        <v>107</v>
      </c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7"/>
      <c r="E140" s="17"/>
      <c r="F140" s="18" t="str">
        <f aca="false">IF(OR(D140="",E140=""),"",(E140-D140)*1440)</f>
        <v/>
      </c>
      <c r="G140" s="19" t="s">
        <v>107</v>
      </c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7"/>
      <c r="E141" s="17"/>
      <c r="F141" s="18" t="str">
        <f aca="false">IF(OR(D141="",E141=""),"",(E141-D141)*1440)</f>
        <v/>
      </c>
      <c r="G141" s="19" t="s">
        <v>107</v>
      </c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7"/>
      <c r="E142" s="17"/>
      <c r="F142" s="18" t="str">
        <f aca="false">IF(OR(D142="",E142=""),"",(E142-D142)*1440)</f>
        <v/>
      </c>
      <c r="G142" s="19" t="s">
        <v>107</v>
      </c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7"/>
      <c r="E143" s="17"/>
      <c r="F143" s="18" t="str">
        <f aca="false">IF(OR(D143="",E143=""),"",(E143-D143)*1440)</f>
        <v/>
      </c>
      <c r="G143" s="19" t="s">
        <v>107</v>
      </c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7"/>
      <c r="E144" s="17"/>
      <c r="F144" s="18" t="str">
        <f aca="false">IF(OR(D144="",E144=""),"",(E144-D144)*1440)</f>
        <v/>
      </c>
      <c r="G144" s="19" t="s">
        <v>107</v>
      </c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7"/>
      <c r="E145" s="17"/>
      <c r="F145" s="18" t="str">
        <f aca="false">IF(OR(D145="",E145=""),"",(E145-D145)*1440)</f>
        <v/>
      </c>
      <c r="G145" s="19" t="s">
        <v>107</v>
      </c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7"/>
      <c r="E146" s="17"/>
      <c r="F146" s="18" t="str">
        <f aca="false">IF(OR(D146="",E146=""),"",(E146-D146)*1440)</f>
        <v/>
      </c>
      <c r="G146" s="19" t="s">
        <v>107</v>
      </c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7"/>
      <c r="E147" s="17"/>
      <c r="F147" s="18" t="str">
        <f aca="false">IF(OR(D147="",E147=""),"",(E147-D147)*1440)</f>
        <v/>
      </c>
      <c r="G147" s="19" t="s">
        <v>107</v>
      </c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7"/>
      <c r="E148" s="17"/>
      <c r="F148" s="18" t="str">
        <f aca="false">IF(OR(D148="",E148=""),"",(E148-D148)*1440)</f>
        <v/>
      </c>
      <c r="G148" s="19" t="s">
        <v>107</v>
      </c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7"/>
      <c r="E149" s="17"/>
      <c r="F149" s="18" t="str">
        <f aca="false">IF(OR(D149="",E149=""),"",(E149-D149)*1440)</f>
        <v/>
      </c>
      <c r="G149" s="19" t="s">
        <v>107</v>
      </c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7"/>
      <c r="E150" s="17"/>
      <c r="F150" s="18" t="str">
        <f aca="false">IF(OR(D150="",E150=""),"",(E150-D150)*1440)</f>
        <v/>
      </c>
      <c r="G150" s="19" t="s">
        <v>107</v>
      </c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7"/>
      <c r="E151" s="17"/>
      <c r="F151" s="18" t="str">
        <f aca="false">IF(OR(D151="",E151=""),"",(E151-D151)*1440)</f>
        <v/>
      </c>
      <c r="G151" s="19" t="s">
        <v>107</v>
      </c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7"/>
      <c r="E152" s="17"/>
      <c r="F152" s="18" t="str">
        <f aca="false">IF(OR(D152="",E152=""),"",(E152-D152)*1440)</f>
        <v/>
      </c>
      <c r="G152" s="19" t="s">
        <v>107</v>
      </c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7"/>
      <c r="E153" s="17"/>
      <c r="F153" s="18" t="str">
        <f aca="false">IF(OR(D153="",E153=""),"",(E153-D153)*1440)</f>
        <v/>
      </c>
      <c r="G153" s="19" t="s">
        <v>107</v>
      </c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7"/>
      <c r="E154" s="17"/>
      <c r="F154" s="18" t="str">
        <f aca="false">IF(OR(D154="",E154=""),"",(E154-D154)*1440)</f>
        <v/>
      </c>
      <c r="G154" s="19" t="s">
        <v>107</v>
      </c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7"/>
      <c r="E155" s="17"/>
      <c r="F155" s="18" t="str">
        <f aca="false">IF(OR(D155="",E155=""),"",(E155-D155)*1440)</f>
        <v/>
      </c>
      <c r="G155" s="19" t="s">
        <v>107</v>
      </c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7"/>
      <c r="E156" s="17"/>
      <c r="F156" s="18" t="str">
        <f aca="false">IF(OR(D156="",E156=""),"",(E156-D156)*1440)</f>
        <v/>
      </c>
      <c r="G156" s="19" t="s">
        <v>107</v>
      </c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7"/>
      <c r="E157" s="17"/>
      <c r="F157" s="18" t="str">
        <f aca="false">IF(OR(D157="",E157=""),"",(E157-D157)*1440)</f>
        <v/>
      </c>
      <c r="G157" s="19" t="s">
        <v>107</v>
      </c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7"/>
      <c r="E158" s="17"/>
      <c r="F158" s="18" t="str">
        <f aca="false">IF(OR(D158="",E158=""),"",(E158-D158)*1440)</f>
        <v/>
      </c>
      <c r="G158" s="19" t="s">
        <v>107</v>
      </c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7"/>
      <c r="E159" s="17"/>
      <c r="F159" s="18" t="str">
        <f aca="false">IF(OR(D159="",E159=""),"",(E159-D159)*1440)</f>
        <v/>
      </c>
      <c r="G159" s="19" t="s">
        <v>107</v>
      </c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7"/>
      <c r="E160" s="17"/>
      <c r="F160" s="18" t="str">
        <f aca="false">IF(OR(D160="",E160=""),"",(E160-D160)*1440)</f>
        <v/>
      </c>
      <c r="G160" s="19" t="s">
        <v>107</v>
      </c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7"/>
      <c r="E161" s="17"/>
      <c r="F161" s="18" t="str">
        <f aca="false">IF(OR(D161="",E161=""),"",(E161-D161)*1440)</f>
        <v/>
      </c>
      <c r="G161" s="19" t="s">
        <v>107</v>
      </c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7"/>
      <c r="E162" s="17"/>
      <c r="F162" s="18" t="str">
        <f aca="false">IF(OR(D162="",E162=""),"",(E162-D162)*1440)</f>
        <v/>
      </c>
      <c r="G162" s="19" t="s">
        <v>107</v>
      </c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7"/>
      <c r="E163" s="17"/>
      <c r="F163" s="18" t="str">
        <f aca="false">IF(OR(D163="",E163=""),"",(E163-D163)*1440)</f>
        <v/>
      </c>
      <c r="G163" s="19" t="s">
        <v>107</v>
      </c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7"/>
      <c r="E164" s="17"/>
      <c r="F164" s="18" t="str">
        <f aca="false">IF(OR(D164="",E164=""),"",(E164-D164)*1440)</f>
        <v/>
      </c>
      <c r="G164" s="19" t="s">
        <v>107</v>
      </c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7"/>
      <c r="E165" s="17"/>
      <c r="F165" s="18" t="str">
        <f aca="false">IF(OR(D165="",E165=""),"",(E165-D165)*1440)</f>
        <v/>
      </c>
      <c r="G165" s="19" t="s">
        <v>107</v>
      </c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7"/>
      <c r="E166" s="17"/>
      <c r="F166" s="18" t="str">
        <f aca="false">IF(OR(D166="",E166=""),"",(E166-D166)*1440)</f>
        <v/>
      </c>
      <c r="G166" s="19" t="s">
        <v>107</v>
      </c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7"/>
      <c r="E167" s="17"/>
      <c r="F167" s="18" t="str">
        <f aca="false">IF(OR(D167="",E167=""),"",(E167-D167)*1440)</f>
        <v/>
      </c>
      <c r="G167" s="19" t="s">
        <v>107</v>
      </c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7"/>
      <c r="E168" s="17"/>
      <c r="F168" s="18" t="str">
        <f aca="false">IF(OR(D168="",E168=""),"",(E168-D168)*1440)</f>
        <v/>
      </c>
      <c r="G168" s="19" t="s">
        <v>107</v>
      </c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7"/>
      <c r="E169" s="17"/>
      <c r="F169" s="18" t="str">
        <f aca="false">IF(OR(D169="",E169=""),"",(E169-D169)*1440)</f>
        <v/>
      </c>
      <c r="G169" s="19" t="s">
        <v>107</v>
      </c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7"/>
      <c r="E170" s="17"/>
      <c r="F170" s="18" t="str">
        <f aca="false">IF(OR(D170="",E170=""),"",(E170-D170)*1440)</f>
        <v/>
      </c>
      <c r="G170" s="19" t="s">
        <v>107</v>
      </c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7"/>
      <c r="E171" s="17"/>
      <c r="F171" s="18" t="str">
        <f aca="false">IF(OR(D171="",E171=""),"",(E171-D171)*1440)</f>
        <v/>
      </c>
      <c r="G171" s="19" t="s">
        <v>107</v>
      </c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7"/>
      <c r="E172" s="17"/>
      <c r="F172" s="18" t="str">
        <f aca="false">IF(OR(D172="",E172=""),"",(E172-D172)*1440)</f>
        <v/>
      </c>
      <c r="G172" s="19" t="s">
        <v>107</v>
      </c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7"/>
      <c r="E173" s="17"/>
      <c r="F173" s="18" t="str">
        <f aca="false">IF(OR(D173="",E173=""),"",(E173-D173)*1440)</f>
        <v/>
      </c>
      <c r="G173" s="19" t="s">
        <v>107</v>
      </c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7"/>
      <c r="E174" s="17"/>
      <c r="F174" s="18" t="str">
        <f aca="false">IF(OR(D174="",E174=""),"",(E174-D174)*1440)</f>
        <v/>
      </c>
      <c r="G174" s="19" t="s">
        <v>107</v>
      </c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7"/>
      <c r="E175" s="17"/>
      <c r="F175" s="18" t="str">
        <f aca="false">IF(OR(D175="",E175=""),"",(E175-D175)*1440)</f>
        <v/>
      </c>
      <c r="G175" s="19" t="s">
        <v>107</v>
      </c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7"/>
      <c r="E176" s="17"/>
      <c r="F176" s="18" t="str">
        <f aca="false">IF(OR(D176="",E176=""),"",(E176-D176)*1440)</f>
        <v/>
      </c>
      <c r="G176" s="19" t="s">
        <v>107</v>
      </c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7"/>
      <c r="E177" s="17"/>
      <c r="F177" s="18" t="str">
        <f aca="false">IF(OR(D177="",E177=""),"",(E177-D177)*1440)</f>
        <v/>
      </c>
      <c r="G177" s="19" t="s">
        <v>107</v>
      </c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7"/>
      <c r="E178" s="17"/>
      <c r="F178" s="18" t="str">
        <f aca="false">IF(OR(D178="",E178=""),"",(E178-D178)*1440)</f>
        <v/>
      </c>
      <c r="G178" s="19" t="s">
        <v>107</v>
      </c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7"/>
      <c r="E179" s="17"/>
      <c r="F179" s="18" t="str">
        <f aca="false">IF(OR(D179="",E179=""),"",(E179-D179)*1440)</f>
        <v/>
      </c>
      <c r="G179" s="19" t="s">
        <v>107</v>
      </c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7"/>
      <c r="E180" s="17"/>
      <c r="F180" s="18" t="str">
        <f aca="false">IF(OR(D180="",E180=""),"",(E180-D180)*1440)</f>
        <v/>
      </c>
      <c r="G180" s="19" t="s">
        <v>107</v>
      </c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7"/>
      <c r="E181" s="17"/>
      <c r="F181" s="18" t="str">
        <f aca="false">IF(OR(D181="",E181=""),"",(E181-D181)*1440)</f>
        <v/>
      </c>
      <c r="G181" s="19" t="s">
        <v>107</v>
      </c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7"/>
      <c r="E182" s="17"/>
      <c r="F182" s="18" t="str">
        <f aca="false">IF(OR(D182="",E182=""),"",(E182-D182)*1440)</f>
        <v/>
      </c>
      <c r="G182" s="19" t="s">
        <v>107</v>
      </c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7"/>
      <c r="E183" s="17"/>
      <c r="F183" s="18" t="str">
        <f aca="false">IF(OR(D183="",E183=""),"",(E183-D183)*1440)</f>
        <v/>
      </c>
      <c r="G183" s="19" t="s">
        <v>107</v>
      </c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7"/>
      <c r="E184" s="17"/>
      <c r="F184" s="18" t="str">
        <f aca="false">IF(OR(D184="",E184=""),"",(E184-D184)*1440)</f>
        <v/>
      </c>
      <c r="G184" s="19" t="s">
        <v>107</v>
      </c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7"/>
      <c r="E185" s="17"/>
      <c r="F185" s="18" t="str">
        <f aca="false">IF(OR(D185="",E185=""),"",(E185-D185)*1440)</f>
        <v/>
      </c>
      <c r="G185" s="19" t="s">
        <v>107</v>
      </c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7"/>
      <c r="E186" s="17"/>
      <c r="F186" s="18" t="str">
        <f aca="false">IF(OR(D186="",E186=""),"",(E186-D186)*1440)</f>
        <v/>
      </c>
      <c r="G186" s="19" t="s">
        <v>107</v>
      </c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7"/>
      <c r="E187" s="17"/>
      <c r="F187" s="18" t="str">
        <f aca="false">IF(OR(D187="",E187=""),"",(E187-D187)*1440)</f>
        <v/>
      </c>
      <c r="G187" s="19" t="s">
        <v>107</v>
      </c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7"/>
      <c r="E188" s="17"/>
      <c r="F188" s="18" t="str">
        <f aca="false">IF(OR(D188="",E188=""),"",(E188-D188)*1440)</f>
        <v/>
      </c>
      <c r="G188" s="19" t="s">
        <v>107</v>
      </c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7"/>
      <c r="E189" s="17"/>
      <c r="F189" s="18" t="str">
        <f aca="false">IF(OR(D189="",E189=""),"",(E189-D189)*1440)</f>
        <v/>
      </c>
      <c r="G189" s="19" t="s">
        <v>107</v>
      </c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7"/>
      <c r="E190" s="17"/>
      <c r="F190" s="18" t="str">
        <f aca="false">IF(OR(D190="",E190=""),"",(E190-D190)*1440)</f>
        <v/>
      </c>
      <c r="G190" s="19" t="s">
        <v>107</v>
      </c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7"/>
      <c r="E191" s="17"/>
      <c r="F191" s="18" t="str">
        <f aca="false">IF(OR(D191="",E191=""),"",(E191-D191)*1440)</f>
        <v/>
      </c>
      <c r="G191" s="19" t="s">
        <v>107</v>
      </c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7"/>
      <c r="E192" s="17"/>
      <c r="F192" s="18" t="str">
        <f aca="false">IF(OR(D192="",E192=""),"",(E192-D192)*1440)</f>
        <v/>
      </c>
      <c r="G192" s="19" t="s">
        <v>107</v>
      </c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7"/>
      <c r="E193" s="17"/>
      <c r="F193" s="18" t="str">
        <f aca="false">IF(OR(D193="",E193=""),"",(E193-D193)*1440)</f>
        <v/>
      </c>
      <c r="G193" s="19" t="s">
        <v>107</v>
      </c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7"/>
      <c r="E194" s="17"/>
      <c r="F194" s="18" t="str">
        <f aca="false">IF(OR(D194="",E194=""),"",(E194-D194)*1440)</f>
        <v/>
      </c>
      <c r="G194" s="19" t="s">
        <v>107</v>
      </c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7"/>
      <c r="E195" s="17"/>
      <c r="F195" s="18" t="str">
        <f aca="false">IF(OR(D195="",E195=""),"",(E195-D195)*1440)</f>
        <v/>
      </c>
      <c r="G195" s="19" t="s">
        <v>107</v>
      </c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7"/>
      <c r="E196" s="17"/>
      <c r="F196" s="18" t="str">
        <f aca="false">IF(OR(D196="",E196=""),"",(E196-D196)*1440)</f>
        <v/>
      </c>
      <c r="G196" s="19" t="s">
        <v>107</v>
      </c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7"/>
      <c r="E197" s="17"/>
      <c r="F197" s="18" t="str">
        <f aca="false">IF(OR(D197="",E197=""),"",(E197-D197)*1440)</f>
        <v/>
      </c>
      <c r="G197" s="19" t="s">
        <v>107</v>
      </c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7"/>
      <c r="E198" s="17"/>
      <c r="F198" s="18" t="str">
        <f aca="false">IF(OR(D198="",E198=""),"",(E198-D198)*1440)</f>
        <v/>
      </c>
      <c r="G198" s="19" t="s">
        <v>107</v>
      </c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7"/>
      <c r="E199" s="17"/>
      <c r="F199" s="18" t="str">
        <f aca="false">IF(OR(D199="",E199=""),"",(E199-D199)*1440)</f>
        <v/>
      </c>
      <c r="G199" s="19" t="s">
        <v>107</v>
      </c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7"/>
      <c r="E200" s="17"/>
      <c r="F200" s="18" t="str">
        <f aca="false">IF(OR(D200="",E200=""),"",(E200-D200)*1440)</f>
        <v/>
      </c>
      <c r="G200" s="19" t="s">
        <v>107</v>
      </c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7"/>
      <c r="E201" s="17"/>
      <c r="F201" s="18" t="str">
        <f aca="false">IF(OR(D201="",E201=""),"",(E201-D201)*1440)</f>
        <v/>
      </c>
      <c r="G201" s="19" t="s">
        <v>107</v>
      </c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7"/>
      <c r="E202" s="17"/>
      <c r="F202" s="18" t="str">
        <f aca="false">IF(OR(D202="",E202=""),"",(E202-D202)*1440)</f>
        <v/>
      </c>
      <c r="G202" s="19" t="s">
        <v>107</v>
      </c>
    </row>
  </sheetData>
  <dataValidations count="1">
    <dataValidation allowBlank="true" errorStyle="stop" operator="between" showDropDown="false" showErrorMessage="false" showInputMessage="false" sqref="B3:B202" type="list">
      <formula1>Listas!$A$2:$A$14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8" t="s">
        <v>98</v>
      </c>
      <c r="B1" s="8" t="s">
        <v>99</v>
      </c>
      <c r="C1" s="8" t="s">
        <v>100</v>
      </c>
      <c r="D1" s="8" t="s">
        <v>101</v>
      </c>
      <c r="E1" s="8" t="s">
        <v>102</v>
      </c>
      <c r="F1" s="8" t="s">
        <v>103</v>
      </c>
      <c r="G1" s="8" t="s">
        <v>104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4" t="n">
        <v>0.376388888888889</v>
      </c>
      <c r="E2" s="14" t="n">
        <v>0.381597222222222</v>
      </c>
      <c r="F2" s="15" t="n">
        <f aca="false">(E2-D2)*1440</f>
        <v>7.5</v>
      </c>
      <c r="G2" s="12" t="s">
        <v>108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7"/>
      <c r="E3" s="17"/>
      <c r="F3" s="18" t="str">
        <f aca="false">IF(OR(D3="",E3=""),"",(E3-D3)*1440)</f>
        <v/>
      </c>
      <c r="G3" s="19" t="s">
        <v>108</v>
      </c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7"/>
      <c r="E4" s="17"/>
      <c r="F4" s="18" t="str">
        <f aca="false">IF(OR(D4="",E4=""),"",(E4-D4)*1440)</f>
        <v/>
      </c>
      <c r="G4" s="19" t="s">
        <v>108</v>
      </c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7"/>
      <c r="E5" s="17"/>
      <c r="F5" s="18" t="str">
        <f aca="false">IF(OR(D5="",E5=""),"",(E5-D5)*1440)</f>
        <v/>
      </c>
      <c r="G5" s="19" t="s">
        <v>108</v>
      </c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7"/>
      <c r="E6" s="17"/>
      <c r="F6" s="18" t="str">
        <f aca="false">IF(OR(D6="",E6=""),"",(E6-D6)*1440)</f>
        <v/>
      </c>
      <c r="G6" s="19" t="s">
        <v>108</v>
      </c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7"/>
      <c r="E7" s="17"/>
      <c r="F7" s="18" t="str">
        <f aca="false">IF(OR(D7="",E7=""),"",(E7-D7)*1440)</f>
        <v/>
      </c>
      <c r="G7" s="19" t="s">
        <v>108</v>
      </c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7"/>
      <c r="E8" s="17"/>
      <c r="F8" s="18" t="str">
        <f aca="false">IF(OR(D8="",E8=""),"",(E8-D8)*1440)</f>
        <v/>
      </c>
      <c r="G8" s="19" t="s">
        <v>108</v>
      </c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7"/>
      <c r="E9" s="17"/>
      <c r="F9" s="18" t="str">
        <f aca="false">IF(OR(D9="",E9=""),"",(E9-D9)*1440)</f>
        <v/>
      </c>
      <c r="G9" s="19" t="s">
        <v>108</v>
      </c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7"/>
      <c r="E10" s="17"/>
      <c r="F10" s="18" t="str">
        <f aca="false">IF(OR(D10="",E10=""),"",(E10-D10)*1440)</f>
        <v/>
      </c>
      <c r="G10" s="19" t="s">
        <v>108</v>
      </c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7"/>
      <c r="E11" s="17"/>
      <c r="F11" s="18" t="str">
        <f aca="false">IF(OR(D11="",E11=""),"",(E11-D11)*1440)</f>
        <v/>
      </c>
      <c r="G11" s="19" t="s">
        <v>108</v>
      </c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7"/>
      <c r="E12" s="17"/>
      <c r="F12" s="18" t="str">
        <f aca="false">IF(OR(D12="",E12=""),"",(E12-D12)*1440)</f>
        <v/>
      </c>
      <c r="G12" s="19" t="s">
        <v>108</v>
      </c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7"/>
      <c r="E13" s="17"/>
      <c r="F13" s="18" t="str">
        <f aca="false">IF(OR(D13="",E13=""),"",(E13-D13)*1440)</f>
        <v/>
      </c>
      <c r="G13" s="19" t="s">
        <v>108</v>
      </c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7"/>
      <c r="E14" s="17"/>
      <c r="F14" s="18" t="str">
        <f aca="false">IF(OR(D14="",E14=""),"",(E14-D14)*1440)</f>
        <v/>
      </c>
      <c r="G14" s="19" t="s">
        <v>108</v>
      </c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7"/>
      <c r="E15" s="17"/>
      <c r="F15" s="18" t="str">
        <f aca="false">IF(OR(D15="",E15=""),"",(E15-D15)*1440)</f>
        <v/>
      </c>
      <c r="G15" s="19" t="s">
        <v>108</v>
      </c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7"/>
      <c r="E16" s="17"/>
      <c r="F16" s="18" t="str">
        <f aca="false">IF(OR(D16="",E16=""),"",(E16-D16)*1440)</f>
        <v/>
      </c>
      <c r="G16" s="19" t="s">
        <v>108</v>
      </c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7"/>
      <c r="E17" s="17"/>
      <c r="F17" s="18" t="str">
        <f aca="false">IF(OR(D17="",E17=""),"",(E17-D17)*1440)</f>
        <v/>
      </c>
      <c r="G17" s="19" t="s">
        <v>108</v>
      </c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7"/>
      <c r="E18" s="17"/>
      <c r="F18" s="18" t="str">
        <f aca="false">IF(OR(D18="",E18=""),"",(E18-D18)*1440)</f>
        <v/>
      </c>
      <c r="G18" s="19" t="s">
        <v>108</v>
      </c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7"/>
      <c r="E19" s="17"/>
      <c r="F19" s="18" t="str">
        <f aca="false">IF(OR(D19="",E19=""),"",(E19-D19)*1440)</f>
        <v/>
      </c>
      <c r="G19" s="19" t="s">
        <v>108</v>
      </c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7"/>
      <c r="E20" s="17"/>
      <c r="F20" s="18" t="str">
        <f aca="false">IF(OR(D20="",E20=""),"",(E20-D20)*1440)</f>
        <v/>
      </c>
      <c r="G20" s="19" t="s">
        <v>108</v>
      </c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7"/>
      <c r="E21" s="17"/>
      <c r="F21" s="18" t="str">
        <f aca="false">IF(OR(D21="",E21=""),"",(E21-D21)*1440)</f>
        <v/>
      </c>
      <c r="G21" s="19" t="s">
        <v>108</v>
      </c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7"/>
      <c r="E22" s="17"/>
      <c r="F22" s="18" t="str">
        <f aca="false">IF(OR(D22="",E22=""),"",(E22-D22)*1440)</f>
        <v/>
      </c>
      <c r="G22" s="19" t="s">
        <v>108</v>
      </c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7"/>
      <c r="E23" s="17"/>
      <c r="F23" s="18" t="str">
        <f aca="false">IF(OR(D23="",E23=""),"",(E23-D23)*1440)</f>
        <v/>
      </c>
      <c r="G23" s="19" t="s">
        <v>108</v>
      </c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7"/>
      <c r="E24" s="17"/>
      <c r="F24" s="18" t="str">
        <f aca="false">IF(OR(D24="",E24=""),"",(E24-D24)*1440)</f>
        <v/>
      </c>
      <c r="G24" s="19" t="s">
        <v>108</v>
      </c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7"/>
      <c r="E25" s="17"/>
      <c r="F25" s="18" t="str">
        <f aca="false">IF(OR(D25="",E25=""),"",(E25-D25)*1440)</f>
        <v/>
      </c>
      <c r="G25" s="19" t="s">
        <v>108</v>
      </c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7"/>
      <c r="E26" s="17"/>
      <c r="F26" s="18" t="str">
        <f aca="false">IF(OR(D26="",E26=""),"",(E26-D26)*1440)</f>
        <v/>
      </c>
      <c r="G26" s="19" t="s">
        <v>108</v>
      </c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7"/>
      <c r="E27" s="17"/>
      <c r="F27" s="18" t="str">
        <f aca="false">IF(OR(D27="",E27=""),"",(E27-D27)*1440)</f>
        <v/>
      </c>
      <c r="G27" s="19" t="s">
        <v>108</v>
      </c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7"/>
      <c r="E28" s="17"/>
      <c r="F28" s="18" t="str">
        <f aca="false">IF(OR(D28="",E28=""),"",(E28-D28)*1440)</f>
        <v/>
      </c>
      <c r="G28" s="19" t="s">
        <v>108</v>
      </c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7"/>
      <c r="E29" s="17"/>
      <c r="F29" s="18" t="str">
        <f aca="false">IF(OR(D29="",E29=""),"",(E29-D29)*1440)</f>
        <v/>
      </c>
      <c r="G29" s="19" t="s">
        <v>108</v>
      </c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7"/>
      <c r="E30" s="17"/>
      <c r="F30" s="18" t="str">
        <f aca="false">IF(OR(D30="",E30=""),"",(E30-D30)*1440)</f>
        <v/>
      </c>
      <c r="G30" s="19" t="s">
        <v>108</v>
      </c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7"/>
      <c r="E31" s="17"/>
      <c r="F31" s="18" t="str">
        <f aca="false">IF(OR(D31="",E31=""),"",(E31-D31)*1440)</f>
        <v/>
      </c>
      <c r="G31" s="19" t="s">
        <v>108</v>
      </c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7"/>
      <c r="E32" s="17"/>
      <c r="F32" s="18" t="str">
        <f aca="false">IF(OR(D32="",E32=""),"",(E32-D32)*1440)</f>
        <v/>
      </c>
      <c r="G32" s="19" t="s">
        <v>108</v>
      </c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7"/>
      <c r="E33" s="17"/>
      <c r="F33" s="18" t="str">
        <f aca="false">IF(OR(D33="",E33=""),"",(E33-D33)*1440)</f>
        <v/>
      </c>
      <c r="G33" s="19" t="s">
        <v>108</v>
      </c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7"/>
      <c r="E34" s="17"/>
      <c r="F34" s="18" t="str">
        <f aca="false">IF(OR(D34="",E34=""),"",(E34-D34)*1440)</f>
        <v/>
      </c>
      <c r="G34" s="19" t="s">
        <v>108</v>
      </c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7"/>
      <c r="E35" s="17"/>
      <c r="F35" s="18" t="str">
        <f aca="false">IF(OR(D35="",E35=""),"",(E35-D35)*1440)</f>
        <v/>
      </c>
      <c r="G35" s="19" t="s">
        <v>108</v>
      </c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7"/>
      <c r="E36" s="17"/>
      <c r="F36" s="18" t="str">
        <f aca="false">IF(OR(D36="",E36=""),"",(E36-D36)*1440)</f>
        <v/>
      </c>
      <c r="G36" s="19" t="s">
        <v>108</v>
      </c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7"/>
      <c r="E37" s="17"/>
      <c r="F37" s="18" t="str">
        <f aca="false">IF(OR(D37="",E37=""),"",(E37-D37)*1440)</f>
        <v/>
      </c>
      <c r="G37" s="19" t="s">
        <v>108</v>
      </c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7"/>
      <c r="E38" s="17"/>
      <c r="F38" s="18" t="str">
        <f aca="false">IF(OR(D38="",E38=""),"",(E38-D38)*1440)</f>
        <v/>
      </c>
      <c r="G38" s="19" t="s">
        <v>108</v>
      </c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7"/>
      <c r="E39" s="17"/>
      <c r="F39" s="18" t="str">
        <f aca="false">IF(OR(D39="",E39=""),"",(E39-D39)*1440)</f>
        <v/>
      </c>
      <c r="G39" s="19" t="s">
        <v>108</v>
      </c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7"/>
      <c r="E40" s="17"/>
      <c r="F40" s="18" t="str">
        <f aca="false">IF(OR(D40="",E40=""),"",(E40-D40)*1440)</f>
        <v/>
      </c>
      <c r="G40" s="19" t="s">
        <v>108</v>
      </c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7"/>
      <c r="E41" s="17"/>
      <c r="F41" s="18" t="str">
        <f aca="false">IF(OR(D41="",E41=""),"",(E41-D41)*1440)</f>
        <v/>
      </c>
      <c r="G41" s="19" t="s">
        <v>108</v>
      </c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7"/>
      <c r="E42" s="17"/>
      <c r="F42" s="18" t="str">
        <f aca="false">IF(OR(D42="",E42=""),"",(E42-D42)*1440)</f>
        <v/>
      </c>
      <c r="G42" s="19" t="s">
        <v>108</v>
      </c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7"/>
      <c r="E43" s="17"/>
      <c r="F43" s="18" t="str">
        <f aca="false">IF(OR(D43="",E43=""),"",(E43-D43)*1440)</f>
        <v/>
      </c>
      <c r="G43" s="19" t="s">
        <v>108</v>
      </c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7"/>
      <c r="E44" s="17"/>
      <c r="F44" s="18" t="str">
        <f aca="false">IF(OR(D44="",E44=""),"",(E44-D44)*1440)</f>
        <v/>
      </c>
      <c r="G44" s="19" t="s">
        <v>108</v>
      </c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7"/>
      <c r="E45" s="17"/>
      <c r="F45" s="18" t="str">
        <f aca="false">IF(OR(D45="",E45=""),"",(E45-D45)*1440)</f>
        <v/>
      </c>
      <c r="G45" s="19" t="s">
        <v>108</v>
      </c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7"/>
      <c r="E46" s="17"/>
      <c r="F46" s="18" t="str">
        <f aca="false">IF(OR(D46="",E46=""),"",(E46-D46)*1440)</f>
        <v/>
      </c>
      <c r="G46" s="19" t="s">
        <v>108</v>
      </c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7"/>
      <c r="E47" s="17"/>
      <c r="F47" s="18" t="str">
        <f aca="false">IF(OR(D47="",E47=""),"",(E47-D47)*1440)</f>
        <v/>
      </c>
      <c r="G47" s="19" t="s">
        <v>108</v>
      </c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7"/>
      <c r="E48" s="17"/>
      <c r="F48" s="18" t="str">
        <f aca="false">IF(OR(D48="",E48=""),"",(E48-D48)*1440)</f>
        <v/>
      </c>
      <c r="G48" s="19" t="s">
        <v>108</v>
      </c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7"/>
      <c r="E49" s="17"/>
      <c r="F49" s="18" t="str">
        <f aca="false">IF(OR(D49="",E49=""),"",(E49-D49)*1440)</f>
        <v/>
      </c>
      <c r="G49" s="19" t="s">
        <v>108</v>
      </c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7"/>
      <c r="E50" s="17"/>
      <c r="F50" s="18" t="str">
        <f aca="false">IF(OR(D50="",E50=""),"",(E50-D50)*1440)</f>
        <v/>
      </c>
      <c r="G50" s="19" t="s">
        <v>108</v>
      </c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7"/>
      <c r="E51" s="17"/>
      <c r="F51" s="18" t="str">
        <f aca="false">IF(OR(D51="",E51=""),"",(E51-D51)*1440)</f>
        <v/>
      </c>
      <c r="G51" s="19" t="s">
        <v>108</v>
      </c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7"/>
      <c r="E52" s="17"/>
      <c r="F52" s="18" t="str">
        <f aca="false">IF(OR(D52="",E52=""),"",(E52-D52)*1440)</f>
        <v/>
      </c>
      <c r="G52" s="19" t="s">
        <v>108</v>
      </c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7"/>
      <c r="E53" s="17"/>
      <c r="F53" s="18" t="str">
        <f aca="false">IF(OR(D53="",E53=""),"",(E53-D53)*1440)</f>
        <v/>
      </c>
      <c r="G53" s="19" t="s">
        <v>108</v>
      </c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7"/>
      <c r="E54" s="17"/>
      <c r="F54" s="18" t="str">
        <f aca="false">IF(OR(D54="",E54=""),"",(E54-D54)*1440)</f>
        <v/>
      </c>
      <c r="G54" s="19" t="s">
        <v>108</v>
      </c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7"/>
      <c r="E55" s="17"/>
      <c r="F55" s="18" t="str">
        <f aca="false">IF(OR(D55="",E55=""),"",(E55-D55)*1440)</f>
        <v/>
      </c>
      <c r="G55" s="19" t="s">
        <v>108</v>
      </c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7"/>
      <c r="E56" s="17"/>
      <c r="F56" s="18" t="str">
        <f aca="false">IF(OR(D56="",E56=""),"",(E56-D56)*1440)</f>
        <v/>
      </c>
      <c r="G56" s="19" t="s">
        <v>108</v>
      </c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7"/>
      <c r="E57" s="17"/>
      <c r="F57" s="18" t="str">
        <f aca="false">IF(OR(D57="",E57=""),"",(E57-D57)*1440)</f>
        <v/>
      </c>
      <c r="G57" s="19" t="s">
        <v>108</v>
      </c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7"/>
      <c r="E58" s="17"/>
      <c r="F58" s="18" t="str">
        <f aca="false">IF(OR(D58="",E58=""),"",(E58-D58)*1440)</f>
        <v/>
      </c>
      <c r="G58" s="19" t="s">
        <v>108</v>
      </c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7"/>
      <c r="E59" s="17"/>
      <c r="F59" s="18" t="str">
        <f aca="false">IF(OR(D59="",E59=""),"",(E59-D59)*1440)</f>
        <v/>
      </c>
      <c r="G59" s="19" t="s">
        <v>108</v>
      </c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7"/>
      <c r="E60" s="17"/>
      <c r="F60" s="18" t="str">
        <f aca="false">IF(OR(D60="",E60=""),"",(E60-D60)*1440)</f>
        <v/>
      </c>
      <c r="G60" s="19" t="s">
        <v>108</v>
      </c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7"/>
      <c r="E61" s="17"/>
      <c r="F61" s="18" t="str">
        <f aca="false">IF(OR(D61="",E61=""),"",(E61-D61)*1440)</f>
        <v/>
      </c>
      <c r="G61" s="19" t="s">
        <v>108</v>
      </c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7"/>
      <c r="E62" s="17"/>
      <c r="F62" s="18" t="str">
        <f aca="false">IF(OR(D62="",E62=""),"",(E62-D62)*1440)</f>
        <v/>
      </c>
      <c r="G62" s="19" t="s">
        <v>108</v>
      </c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7"/>
      <c r="E63" s="17"/>
      <c r="F63" s="18" t="str">
        <f aca="false">IF(OR(D63="",E63=""),"",(E63-D63)*1440)</f>
        <v/>
      </c>
      <c r="G63" s="19" t="s">
        <v>108</v>
      </c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7"/>
      <c r="E64" s="17"/>
      <c r="F64" s="18" t="str">
        <f aca="false">IF(OR(D64="",E64=""),"",(E64-D64)*1440)</f>
        <v/>
      </c>
      <c r="G64" s="19" t="s">
        <v>108</v>
      </c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7"/>
      <c r="E65" s="17"/>
      <c r="F65" s="18" t="str">
        <f aca="false">IF(OR(D65="",E65=""),"",(E65-D65)*1440)</f>
        <v/>
      </c>
      <c r="G65" s="19" t="s">
        <v>108</v>
      </c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7"/>
      <c r="E66" s="17"/>
      <c r="F66" s="18" t="str">
        <f aca="false">IF(OR(D66="",E66=""),"",(E66-D66)*1440)</f>
        <v/>
      </c>
      <c r="G66" s="19" t="s">
        <v>108</v>
      </c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7"/>
      <c r="E67" s="17"/>
      <c r="F67" s="18" t="str">
        <f aca="false">IF(OR(D67="",E67=""),"",(E67-D67)*1440)</f>
        <v/>
      </c>
      <c r="G67" s="19" t="s">
        <v>108</v>
      </c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7"/>
      <c r="E68" s="17"/>
      <c r="F68" s="18" t="str">
        <f aca="false">IF(OR(D68="",E68=""),"",(E68-D68)*1440)</f>
        <v/>
      </c>
      <c r="G68" s="19" t="s">
        <v>108</v>
      </c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7"/>
      <c r="E69" s="17"/>
      <c r="F69" s="18" t="str">
        <f aca="false">IF(OR(D69="",E69=""),"",(E69-D69)*1440)</f>
        <v/>
      </c>
      <c r="G69" s="19" t="s">
        <v>108</v>
      </c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7"/>
      <c r="E70" s="17"/>
      <c r="F70" s="18" t="str">
        <f aca="false">IF(OR(D70="",E70=""),"",(E70-D70)*1440)</f>
        <v/>
      </c>
      <c r="G70" s="19" t="s">
        <v>108</v>
      </c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7"/>
      <c r="E71" s="17"/>
      <c r="F71" s="18" t="str">
        <f aca="false">IF(OR(D71="",E71=""),"",(E71-D71)*1440)</f>
        <v/>
      </c>
      <c r="G71" s="19" t="s">
        <v>108</v>
      </c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7"/>
      <c r="E72" s="17"/>
      <c r="F72" s="18" t="str">
        <f aca="false">IF(OR(D72="",E72=""),"",(E72-D72)*1440)</f>
        <v/>
      </c>
      <c r="G72" s="19" t="s">
        <v>108</v>
      </c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7"/>
      <c r="E73" s="17"/>
      <c r="F73" s="18" t="str">
        <f aca="false">IF(OR(D73="",E73=""),"",(E73-D73)*1440)</f>
        <v/>
      </c>
      <c r="G73" s="19" t="s">
        <v>108</v>
      </c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7"/>
      <c r="E74" s="17"/>
      <c r="F74" s="18" t="str">
        <f aca="false">IF(OR(D74="",E74=""),"",(E74-D74)*1440)</f>
        <v/>
      </c>
      <c r="G74" s="19" t="s">
        <v>108</v>
      </c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7"/>
      <c r="E75" s="17"/>
      <c r="F75" s="18" t="str">
        <f aca="false">IF(OR(D75="",E75=""),"",(E75-D75)*1440)</f>
        <v/>
      </c>
      <c r="G75" s="19" t="s">
        <v>108</v>
      </c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7"/>
      <c r="E76" s="17"/>
      <c r="F76" s="18" t="str">
        <f aca="false">IF(OR(D76="",E76=""),"",(E76-D76)*1440)</f>
        <v/>
      </c>
      <c r="G76" s="19" t="s">
        <v>108</v>
      </c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7"/>
      <c r="E77" s="17"/>
      <c r="F77" s="18" t="str">
        <f aca="false">IF(OR(D77="",E77=""),"",(E77-D77)*1440)</f>
        <v/>
      </c>
      <c r="G77" s="19" t="s">
        <v>108</v>
      </c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7"/>
      <c r="E78" s="17"/>
      <c r="F78" s="18" t="str">
        <f aca="false">IF(OR(D78="",E78=""),"",(E78-D78)*1440)</f>
        <v/>
      </c>
      <c r="G78" s="19" t="s">
        <v>108</v>
      </c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7"/>
      <c r="E79" s="17"/>
      <c r="F79" s="18" t="str">
        <f aca="false">IF(OR(D79="",E79=""),"",(E79-D79)*1440)</f>
        <v/>
      </c>
      <c r="G79" s="19" t="s">
        <v>108</v>
      </c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7"/>
      <c r="E80" s="17"/>
      <c r="F80" s="18" t="str">
        <f aca="false">IF(OR(D80="",E80=""),"",(E80-D80)*1440)</f>
        <v/>
      </c>
      <c r="G80" s="19" t="s">
        <v>108</v>
      </c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7"/>
      <c r="E81" s="17"/>
      <c r="F81" s="18" t="str">
        <f aca="false">IF(OR(D81="",E81=""),"",(E81-D81)*1440)</f>
        <v/>
      </c>
      <c r="G81" s="19" t="s">
        <v>108</v>
      </c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7"/>
      <c r="E82" s="17"/>
      <c r="F82" s="18" t="str">
        <f aca="false">IF(OR(D82="",E82=""),"",(E82-D82)*1440)</f>
        <v/>
      </c>
      <c r="G82" s="19" t="s">
        <v>108</v>
      </c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7"/>
      <c r="E83" s="17"/>
      <c r="F83" s="18" t="str">
        <f aca="false">IF(OR(D83="",E83=""),"",(E83-D83)*1440)</f>
        <v/>
      </c>
      <c r="G83" s="19" t="s">
        <v>108</v>
      </c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7"/>
      <c r="E84" s="17"/>
      <c r="F84" s="18" t="str">
        <f aca="false">IF(OR(D84="",E84=""),"",(E84-D84)*1440)</f>
        <v/>
      </c>
      <c r="G84" s="19" t="s">
        <v>108</v>
      </c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7"/>
      <c r="E85" s="17"/>
      <c r="F85" s="18" t="str">
        <f aca="false">IF(OR(D85="",E85=""),"",(E85-D85)*1440)</f>
        <v/>
      </c>
      <c r="G85" s="19" t="s">
        <v>108</v>
      </c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7"/>
      <c r="E86" s="17"/>
      <c r="F86" s="18" t="str">
        <f aca="false">IF(OR(D86="",E86=""),"",(E86-D86)*1440)</f>
        <v/>
      </c>
      <c r="G86" s="19" t="s">
        <v>108</v>
      </c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7"/>
      <c r="E87" s="17"/>
      <c r="F87" s="18" t="str">
        <f aca="false">IF(OR(D87="",E87=""),"",(E87-D87)*1440)</f>
        <v/>
      </c>
      <c r="G87" s="19" t="s">
        <v>108</v>
      </c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7"/>
      <c r="E88" s="17"/>
      <c r="F88" s="18" t="str">
        <f aca="false">IF(OR(D88="",E88=""),"",(E88-D88)*1440)</f>
        <v/>
      </c>
      <c r="G88" s="19" t="s">
        <v>108</v>
      </c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7"/>
      <c r="E89" s="17"/>
      <c r="F89" s="18" t="str">
        <f aca="false">IF(OR(D89="",E89=""),"",(E89-D89)*1440)</f>
        <v/>
      </c>
      <c r="G89" s="19" t="s">
        <v>108</v>
      </c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7"/>
      <c r="E90" s="17"/>
      <c r="F90" s="18" t="str">
        <f aca="false">IF(OR(D90="",E90=""),"",(E90-D90)*1440)</f>
        <v/>
      </c>
      <c r="G90" s="19" t="s">
        <v>108</v>
      </c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7"/>
      <c r="E91" s="17"/>
      <c r="F91" s="18" t="str">
        <f aca="false">IF(OR(D91="",E91=""),"",(E91-D91)*1440)</f>
        <v/>
      </c>
      <c r="G91" s="19" t="s">
        <v>108</v>
      </c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7"/>
      <c r="E92" s="17"/>
      <c r="F92" s="18" t="str">
        <f aca="false">IF(OR(D92="",E92=""),"",(E92-D92)*1440)</f>
        <v/>
      </c>
      <c r="G92" s="19" t="s">
        <v>108</v>
      </c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7"/>
      <c r="E93" s="17"/>
      <c r="F93" s="18" t="str">
        <f aca="false">IF(OR(D93="",E93=""),"",(E93-D93)*1440)</f>
        <v/>
      </c>
      <c r="G93" s="19" t="s">
        <v>108</v>
      </c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7"/>
      <c r="E94" s="17"/>
      <c r="F94" s="18" t="str">
        <f aca="false">IF(OR(D94="",E94=""),"",(E94-D94)*1440)</f>
        <v/>
      </c>
      <c r="G94" s="19" t="s">
        <v>108</v>
      </c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7"/>
      <c r="E95" s="17"/>
      <c r="F95" s="18" t="str">
        <f aca="false">IF(OR(D95="",E95=""),"",(E95-D95)*1440)</f>
        <v/>
      </c>
      <c r="G95" s="19" t="s">
        <v>108</v>
      </c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7"/>
      <c r="E96" s="17"/>
      <c r="F96" s="18" t="str">
        <f aca="false">IF(OR(D96="",E96=""),"",(E96-D96)*1440)</f>
        <v/>
      </c>
      <c r="G96" s="19" t="s">
        <v>108</v>
      </c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7"/>
      <c r="E97" s="17"/>
      <c r="F97" s="18" t="str">
        <f aca="false">IF(OR(D97="",E97=""),"",(E97-D97)*1440)</f>
        <v/>
      </c>
      <c r="G97" s="19" t="s">
        <v>108</v>
      </c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7"/>
      <c r="E98" s="17"/>
      <c r="F98" s="18" t="str">
        <f aca="false">IF(OR(D98="",E98=""),"",(E98-D98)*1440)</f>
        <v/>
      </c>
      <c r="G98" s="19" t="s">
        <v>108</v>
      </c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7"/>
      <c r="E99" s="17"/>
      <c r="F99" s="18" t="str">
        <f aca="false">IF(OR(D99="",E99=""),"",(E99-D99)*1440)</f>
        <v/>
      </c>
      <c r="G99" s="19" t="s">
        <v>108</v>
      </c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7"/>
      <c r="E100" s="17"/>
      <c r="F100" s="18" t="str">
        <f aca="false">IF(OR(D100="",E100=""),"",(E100-D100)*1440)</f>
        <v/>
      </c>
      <c r="G100" s="19" t="s">
        <v>108</v>
      </c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7"/>
      <c r="E101" s="17"/>
      <c r="F101" s="18" t="str">
        <f aca="false">IF(OR(D101="",E101=""),"",(E101-D101)*1440)</f>
        <v/>
      </c>
      <c r="G101" s="19" t="s">
        <v>108</v>
      </c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7"/>
      <c r="E102" s="17"/>
      <c r="F102" s="18" t="str">
        <f aca="false">IF(OR(D102="",E102=""),"",(E102-D102)*1440)</f>
        <v/>
      </c>
      <c r="G102" s="19" t="s">
        <v>108</v>
      </c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7"/>
      <c r="E103" s="17"/>
      <c r="F103" s="18" t="str">
        <f aca="false">IF(OR(D103="",E103=""),"",(E103-D103)*1440)</f>
        <v/>
      </c>
      <c r="G103" s="19" t="s">
        <v>108</v>
      </c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7"/>
      <c r="E104" s="17"/>
      <c r="F104" s="18" t="str">
        <f aca="false">IF(OR(D104="",E104=""),"",(E104-D104)*1440)</f>
        <v/>
      </c>
      <c r="G104" s="19" t="s">
        <v>108</v>
      </c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7"/>
      <c r="E105" s="17"/>
      <c r="F105" s="18" t="str">
        <f aca="false">IF(OR(D105="",E105=""),"",(E105-D105)*1440)</f>
        <v/>
      </c>
      <c r="G105" s="19" t="s">
        <v>108</v>
      </c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7"/>
      <c r="E106" s="17"/>
      <c r="F106" s="18" t="str">
        <f aca="false">IF(OR(D106="",E106=""),"",(E106-D106)*1440)</f>
        <v/>
      </c>
      <c r="G106" s="19" t="s">
        <v>108</v>
      </c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7"/>
      <c r="E107" s="17"/>
      <c r="F107" s="18" t="str">
        <f aca="false">IF(OR(D107="",E107=""),"",(E107-D107)*1440)</f>
        <v/>
      </c>
      <c r="G107" s="19" t="s">
        <v>108</v>
      </c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7"/>
      <c r="E108" s="17"/>
      <c r="F108" s="18" t="str">
        <f aca="false">IF(OR(D108="",E108=""),"",(E108-D108)*1440)</f>
        <v/>
      </c>
      <c r="G108" s="19" t="s">
        <v>108</v>
      </c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7"/>
      <c r="E109" s="17"/>
      <c r="F109" s="18" t="str">
        <f aca="false">IF(OR(D109="",E109=""),"",(E109-D109)*1440)</f>
        <v/>
      </c>
      <c r="G109" s="19" t="s">
        <v>108</v>
      </c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7"/>
      <c r="E110" s="17"/>
      <c r="F110" s="18" t="str">
        <f aca="false">IF(OR(D110="",E110=""),"",(E110-D110)*1440)</f>
        <v/>
      </c>
      <c r="G110" s="19" t="s">
        <v>108</v>
      </c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7"/>
      <c r="E111" s="17"/>
      <c r="F111" s="18" t="str">
        <f aca="false">IF(OR(D111="",E111=""),"",(E111-D111)*1440)</f>
        <v/>
      </c>
      <c r="G111" s="19" t="s">
        <v>108</v>
      </c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7"/>
      <c r="E112" s="17"/>
      <c r="F112" s="18" t="str">
        <f aca="false">IF(OR(D112="",E112=""),"",(E112-D112)*1440)</f>
        <v/>
      </c>
      <c r="G112" s="19" t="s">
        <v>108</v>
      </c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7"/>
      <c r="E113" s="17"/>
      <c r="F113" s="18" t="str">
        <f aca="false">IF(OR(D113="",E113=""),"",(E113-D113)*1440)</f>
        <v/>
      </c>
      <c r="G113" s="19" t="s">
        <v>108</v>
      </c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7"/>
      <c r="E114" s="17"/>
      <c r="F114" s="18" t="str">
        <f aca="false">IF(OR(D114="",E114=""),"",(E114-D114)*1440)</f>
        <v/>
      </c>
      <c r="G114" s="19" t="s">
        <v>108</v>
      </c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7"/>
      <c r="E115" s="17"/>
      <c r="F115" s="18" t="str">
        <f aca="false">IF(OR(D115="",E115=""),"",(E115-D115)*1440)</f>
        <v/>
      </c>
      <c r="G115" s="19" t="s">
        <v>108</v>
      </c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7"/>
      <c r="E116" s="17"/>
      <c r="F116" s="18" t="str">
        <f aca="false">IF(OR(D116="",E116=""),"",(E116-D116)*1440)</f>
        <v/>
      </c>
      <c r="G116" s="19" t="s">
        <v>108</v>
      </c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7"/>
      <c r="E117" s="17"/>
      <c r="F117" s="18" t="str">
        <f aca="false">IF(OR(D117="",E117=""),"",(E117-D117)*1440)</f>
        <v/>
      </c>
      <c r="G117" s="19" t="s">
        <v>108</v>
      </c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7"/>
      <c r="E118" s="17"/>
      <c r="F118" s="18" t="str">
        <f aca="false">IF(OR(D118="",E118=""),"",(E118-D118)*1440)</f>
        <v/>
      </c>
      <c r="G118" s="19" t="s">
        <v>108</v>
      </c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7"/>
      <c r="E119" s="17"/>
      <c r="F119" s="18" t="str">
        <f aca="false">IF(OR(D119="",E119=""),"",(E119-D119)*1440)</f>
        <v/>
      </c>
      <c r="G119" s="19" t="s">
        <v>108</v>
      </c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7"/>
      <c r="E120" s="17"/>
      <c r="F120" s="18" t="str">
        <f aca="false">IF(OR(D120="",E120=""),"",(E120-D120)*1440)</f>
        <v/>
      </c>
      <c r="G120" s="19" t="s">
        <v>108</v>
      </c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7"/>
      <c r="E121" s="17"/>
      <c r="F121" s="18" t="str">
        <f aca="false">IF(OR(D121="",E121=""),"",(E121-D121)*1440)</f>
        <v/>
      </c>
      <c r="G121" s="19" t="s">
        <v>108</v>
      </c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7"/>
      <c r="E122" s="17"/>
      <c r="F122" s="18" t="str">
        <f aca="false">IF(OR(D122="",E122=""),"",(E122-D122)*1440)</f>
        <v/>
      </c>
      <c r="G122" s="19" t="s">
        <v>108</v>
      </c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7"/>
      <c r="E123" s="17"/>
      <c r="F123" s="18" t="str">
        <f aca="false">IF(OR(D123="",E123=""),"",(E123-D123)*1440)</f>
        <v/>
      </c>
      <c r="G123" s="19" t="s">
        <v>108</v>
      </c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7"/>
      <c r="E124" s="17"/>
      <c r="F124" s="18" t="str">
        <f aca="false">IF(OR(D124="",E124=""),"",(E124-D124)*1440)</f>
        <v/>
      </c>
      <c r="G124" s="19" t="s">
        <v>108</v>
      </c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7"/>
      <c r="E125" s="17"/>
      <c r="F125" s="18" t="str">
        <f aca="false">IF(OR(D125="",E125=""),"",(E125-D125)*1440)</f>
        <v/>
      </c>
      <c r="G125" s="19" t="s">
        <v>108</v>
      </c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7"/>
      <c r="E126" s="17"/>
      <c r="F126" s="18" t="str">
        <f aca="false">IF(OR(D126="",E126=""),"",(E126-D126)*1440)</f>
        <v/>
      </c>
      <c r="G126" s="19" t="s">
        <v>108</v>
      </c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7"/>
      <c r="E127" s="17"/>
      <c r="F127" s="18" t="str">
        <f aca="false">IF(OR(D127="",E127=""),"",(E127-D127)*1440)</f>
        <v/>
      </c>
      <c r="G127" s="19" t="s">
        <v>108</v>
      </c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7"/>
      <c r="E128" s="17"/>
      <c r="F128" s="18" t="str">
        <f aca="false">IF(OR(D128="",E128=""),"",(E128-D128)*1440)</f>
        <v/>
      </c>
      <c r="G128" s="19" t="s">
        <v>108</v>
      </c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7"/>
      <c r="E129" s="17"/>
      <c r="F129" s="18" t="str">
        <f aca="false">IF(OR(D129="",E129=""),"",(E129-D129)*1440)</f>
        <v/>
      </c>
      <c r="G129" s="19" t="s">
        <v>108</v>
      </c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7"/>
      <c r="E130" s="17"/>
      <c r="F130" s="18" t="str">
        <f aca="false">IF(OR(D130="",E130=""),"",(E130-D130)*1440)</f>
        <v/>
      </c>
      <c r="G130" s="19" t="s">
        <v>108</v>
      </c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7"/>
      <c r="E131" s="17"/>
      <c r="F131" s="18" t="str">
        <f aca="false">IF(OR(D131="",E131=""),"",(E131-D131)*1440)</f>
        <v/>
      </c>
      <c r="G131" s="19" t="s">
        <v>108</v>
      </c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7"/>
      <c r="E132" s="17"/>
      <c r="F132" s="18" t="str">
        <f aca="false">IF(OR(D132="",E132=""),"",(E132-D132)*1440)</f>
        <v/>
      </c>
      <c r="G132" s="19" t="s">
        <v>108</v>
      </c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7"/>
      <c r="E133" s="17"/>
      <c r="F133" s="18" t="str">
        <f aca="false">IF(OR(D133="",E133=""),"",(E133-D133)*1440)</f>
        <v/>
      </c>
      <c r="G133" s="19" t="s">
        <v>108</v>
      </c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7"/>
      <c r="E134" s="17"/>
      <c r="F134" s="18" t="str">
        <f aca="false">IF(OR(D134="",E134=""),"",(E134-D134)*1440)</f>
        <v/>
      </c>
      <c r="G134" s="19" t="s">
        <v>108</v>
      </c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7"/>
      <c r="E135" s="17"/>
      <c r="F135" s="18" t="str">
        <f aca="false">IF(OR(D135="",E135=""),"",(E135-D135)*1440)</f>
        <v/>
      </c>
      <c r="G135" s="19" t="s">
        <v>108</v>
      </c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7"/>
      <c r="E136" s="17"/>
      <c r="F136" s="18" t="str">
        <f aca="false">IF(OR(D136="",E136=""),"",(E136-D136)*1440)</f>
        <v/>
      </c>
      <c r="G136" s="19" t="s">
        <v>108</v>
      </c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7"/>
      <c r="E137" s="17"/>
      <c r="F137" s="18" t="str">
        <f aca="false">IF(OR(D137="",E137=""),"",(E137-D137)*1440)</f>
        <v/>
      </c>
      <c r="G137" s="19" t="s">
        <v>108</v>
      </c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7"/>
      <c r="E138" s="17"/>
      <c r="F138" s="18" t="str">
        <f aca="false">IF(OR(D138="",E138=""),"",(E138-D138)*1440)</f>
        <v/>
      </c>
      <c r="G138" s="19" t="s">
        <v>108</v>
      </c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7"/>
      <c r="E139" s="17"/>
      <c r="F139" s="18" t="str">
        <f aca="false">IF(OR(D139="",E139=""),"",(E139-D139)*1440)</f>
        <v/>
      </c>
      <c r="G139" s="19" t="s">
        <v>108</v>
      </c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7"/>
      <c r="E140" s="17"/>
      <c r="F140" s="18" t="str">
        <f aca="false">IF(OR(D140="",E140=""),"",(E140-D140)*1440)</f>
        <v/>
      </c>
      <c r="G140" s="19" t="s">
        <v>108</v>
      </c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7"/>
      <c r="E141" s="17"/>
      <c r="F141" s="18" t="str">
        <f aca="false">IF(OR(D141="",E141=""),"",(E141-D141)*1440)</f>
        <v/>
      </c>
      <c r="G141" s="19" t="s">
        <v>108</v>
      </c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7"/>
      <c r="E142" s="17"/>
      <c r="F142" s="18" t="str">
        <f aca="false">IF(OR(D142="",E142=""),"",(E142-D142)*1440)</f>
        <v/>
      </c>
      <c r="G142" s="19" t="s">
        <v>108</v>
      </c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7"/>
      <c r="E143" s="17"/>
      <c r="F143" s="18" t="str">
        <f aca="false">IF(OR(D143="",E143=""),"",(E143-D143)*1440)</f>
        <v/>
      </c>
      <c r="G143" s="19" t="s">
        <v>108</v>
      </c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7"/>
      <c r="E144" s="17"/>
      <c r="F144" s="18" t="str">
        <f aca="false">IF(OR(D144="",E144=""),"",(E144-D144)*1440)</f>
        <v/>
      </c>
      <c r="G144" s="19" t="s">
        <v>108</v>
      </c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7"/>
      <c r="E145" s="17"/>
      <c r="F145" s="18" t="str">
        <f aca="false">IF(OR(D145="",E145=""),"",(E145-D145)*1440)</f>
        <v/>
      </c>
      <c r="G145" s="19" t="s">
        <v>108</v>
      </c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7"/>
      <c r="E146" s="17"/>
      <c r="F146" s="18" t="str">
        <f aca="false">IF(OR(D146="",E146=""),"",(E146-D146)*1440)</f>
        <v/>
      </c>
      <c r="G146" s="19" t="s">
        <v>108</v>
      </c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7"/>
      <c r="E147" s="17"/>
      <c r="F147" s="18" t="str">
        <f aca="false">IF(OR(D147="",E147=""),"",(E147-D147)*1440)</f>
        <v/>
      </c>
      <c r="G147" s="19" t="s">
        <v>108</v>
      </c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7"/>
      <c r="E148" s="17"/>
      <c r="F148" s="18" t="str">
        <f aca="false">IF(OR(D148="",E148=""),"",(E148-D148)*1440)</f>
        <v/>
      </c>
      <c r="G148" s="19" t="s">
        <v>108</v>
      </c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7"/>
      <c r="E149" s="17"/>
      <c r="F149" s="18" t="str">
        <f aca="false">IF(OR(D149="",E149=""),"",(E149-D149)*1440)</f>
        <v/>
      </c>
      <c r="G149" s="19" t="s">
        <v>108</v>
      </c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7"/>
      <c r="E150" s="17"/>
      <c r="F150" s="18" t="str">
        <f aca="false">IF(OR(D150="",E150=""),"",(E150-D150)*1440)</f>
        <v/>
      </c>
      <c r="G150" s="19" t="s">
        <v>108</v>
      </c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7"/>
      <c r="E151" s="17"/>
      <c r="F151" s="18" t="str">
        <f aca="false">IF(OR(D151="",E151=""),"",(E151-D151)*1440)</f>
        <v/>
      </c>
      <c r="G151" s="19" t="s">
        <v>108</v>
      </c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7"/>
      <c r="E152" s="17"/>
      <c r="F152" s="18" t="str">
        <f aca="false">IF(OR(D152="",E152=""),"",(E152-D152)*1440)</f>
        <v/>
      </c>
      <c r="G152" s="19" t="s">
        <v>108</v>
      </c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7"/>
      <c r="E153" s="17"/>
      <c r="F153" s="18" t="str">
        <f aca="false">IF(OR(D153="",E153=""),"",(E153-D153)*1440)</f>
        <v/>
      </c>
      <c r="G153" s="19" t="s">
        <v>108</v>
      </c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7"/>
      <c r="E154" s="17"/>
      <c r="F154" s="18" t="str">
        <f aca="false">IF(OR(D154="",E154=""),"",(E154-D154)*1440)</f>
        <v/>
      </c>
      <c r="G154" s="19" t="s">
        <v>108</v>
      </c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7"/>
      <c r="E155" s="17"/>
      <c r="F155" s="18" t="str">
        <f aca="false">IF(OR(D155="",E155=""),"",(E155-D155)*1440)</f>
        <v/>
      </c>
      <c r="G155" s="19" t="s">
        <v>108</v>
      </c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7"/>
      <c r="E156" s="17"/>
      <c r="F156" s="18" t="str">
        <f aca="false">IF(OR(D156="",E156=""),"",(E156-D156)*1440)</f>
        <v/>
      </c>
      <c r="G156" s="19" t="s">
        <v>108</v>
      </c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7"/>
      <c r="E157" s="17"/>
      <c r="F157" s="18" t="str">
        <f aca="false">IF(OR(D157="",E157=""),"",(E157-D157)*1440)</f>
        <v/>
      </c>
      <c r="G157" s="19" t="s">
        <v>108</v>
      </c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7"/>
      <c r="E158" s="17"/>
      <c r="F158" s="18" t="str">
        <f aca="false">IF(OR(D158="",E158=""),"",(E158-D158)*1440)</f>
        <v/>
      </c>
      <c r="G158" s="19" t="s">
        <v>108</v>
      </c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7"/>
      <c r="E159" s="17"/>
      <c r="F159" s="18" t="str">
        <f aca="false">IF(OR(D159="",E159=""),"",(E159-D159)*1440)</f>
        <v/>
      </c>
      <c r="G159" s="19" t="s">
        <v>108</v>
      </c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7"/>
      <c r="E160" s="17"/>
      <c r="F160" s="18" t="str">
        <f aca="false">IF(OR(D160="",E160=""),"",(E160-D160)*1440)</f>
        <v/>
      </c>
      <c r="G160" s="19" t="s">
        <v>108</v>
      </c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7"/>
      <c r="E161" s="17"/>
      <c r="F161" s="18" t="str">
        <f aca="false">IF(OR(D161="",E161=""),"",(E161-D161)*1440)</f>
        <v/>
      </c>
      <c r="G161" s="19" t="s">
        <v>108</v>
      </c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7"/>
      <c r="E162" s="17"/>
      <c r="F162" s="18" t="str">
        <f aca="false">IF(OR(D162="",E162=""),"",(E162-D162)*1440)</f>
        <v/>
      </c>
      <c r="G162" s="19" t="s">
        <v>108</v>
      </c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7"/>
      <c r="E163" s="17"/>
      <c r="F163" s="18" t="str">
        <f aca="false">IF(OR(D163="",E163=""),"",(E163-D163)*1440)</f>
        <v/>
      </c>
      <c r="G163" s="19" t="s">
        <v>108</v>
      </c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7"/>
      <c r="E164" s="17"/>
      <c r="F164" s="18" t="str">
        <f aca="false">IF(OR(D164="",E164=""),"",(E164-D164)*1440)</f>
        <v/>
      </c>
      <c r="G164" s="19" t="s">
        <v>108</v>
      </c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7"/>
      <c r="E165" s="17"/>
      <c r="F165" s="18" t="str">
        <f aca="false">IF(OR(D165="",E165=""),"",(E165-D165)*1440)</f>
        <v/>
      </c>
      <c r="G165" s="19" t="s">
        <v>108</v>
      </c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7"/>
      <c r="E166" s="17"/>
      <c r="F166" s="18" t="str">
        <f aca="false">IF(OR(D166="",E166=""),"",(E166-D166)*1440)</f>
        <v/>
      </c>
      <c r="G166" s="19" t="s">
        <v>108</v>
      </c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7"/>
      <c r="E167" s="17"/>
      <c r="F167" s="18" t="str">
        <f aca="false">IF(OR(D167="",E167=""),"",(E167-D167)*1440)</f>
        <v/>
      </c>
      <c r="G167" s="19" t="s">
        <v>108</v>
      </c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7"/>
      <c r="E168" s="17"/>
      <c r="F168" s="18" t="str">
        <f aca="false">IF(OR(D168="",E168=""),"",(E168-D168)*1440)</f>
        <v/>
      </c>
      <c r="G168" s="19" t="s">
        <v>108</v>
      </c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7"/>
      <c r="E169" s="17"/>
      <c r="F169" s="18" t="str">
        <f aca="false">IF(OR(D169="",E169=""),"",(E169-D169)*1440)</f>
        <v/>
      </c>
      <c r="G169" s="19" t="s">
        <v>108</v>
      </c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7"/>
      <c r="E170" s="17"/>
      <c r="F170" s="18" t="str">
        <f aca="false">IF(OR(D170="",E170=""),"",(E170-D170)*1440)</f>
        <v/>
      </c>
      <c r="G170" s="19" t="s">
        <v>108</v>
      </c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7"/>
      <c r="E171" s="17"/>
      <c r="F171" s="18" t="str">
        <f aca="false">IF(OR(D171="",E171=""),"",(E171-D171)*1440)</f>
        <v/>
      </c>
      <c r="G171" s="19" t="s">
        <v>108</v>
      </c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7"/>
      <c r="E172" s="17"/>
      <c r="F172" s="18" t="str">
        <f aca="false">IF(OR(D172="",E172=""),"",(E172-D172)*1440)</f>
        <v/>
      </c>
      <c r="G172" s="19" t="s">
        <v>108</v>
      </c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7"/>
      <c r="E173" s="17"/>
      <c r="F173" s="18" t="str">
        <f aca="false">IF(OR(D173="",E173=""),"",(E173-D173)*1440)</f>
        <v/>
      </c>
      <c r="G173" s="19" t="s">
        <v>108</v>
      </c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7"/>
      <c r="E174" s="17"/>
      <c r="F174" s="18" t="str">
        <f aca="false">IF(OR(D174="",E174=""),"",(E174-D174)*1440)</f>
        <v/>
      </c>
      <c r="G174" s="19" t="s">
        <v>108</v>
      </c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7"/>
      <c r="E175" s="17"/>
      <c r="F175" s="18" t="str">
        <f aca="false">IF(OR(D175="",E175=""),"",(E175-D175)*1440)</f>
        <v/>
      </c>
      <c r="G175" s="19" t="s">
        <v>108</v>
      </c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7"/>
      <c r="E176" s="17"/>
      <c r="F176" s="18" t="str">
        <f aca="false">IF(OR(D176="",E176=""),"",(E176-D176)*1440)</f>
        <v/>
      </c>
      <c r="G176" s="19" t="s">
        <v>108</v>
      </c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7"/>
      <c r="E177" s="17"/>
      <c r="F177" s="18" t="str">
        <f aca="false">IF(OR(D177="",E177=""),"",(E177-D177)*1440)</f>
        <v/>
      </c>
      <c r="G177" s="19" t="s">
        <v>108</v>
      </c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7"/>
      <c r="E178" s="17"/>
      <c r="F178" s="18" t="str">
        <f aca="false">IF(OR(D178="",E178=""),"",(E178-D178)*1440)</f>
        <v/>
      </c>
      <c r="G178" s="19" t="s">
        <v>108</v>
      </c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7"/>
      <c r="E179" s="17"/>
      <c r="F179" s="18" t="str">
        <f aca="false">IF(OR(D179="",E179=""),"",(E179-D179)*1440)</f>
        <v/>
      </c>
      <c r="G179" s="19" t="s">
        <v>108</v>
      </c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7"/>
      <c r="E180" s="17"/>
      <c r="F180" s="18" t="str">
        <f aca="false">IF(OR(D180="",E180=""),"",(E180-D180)*1440)</f>
        <v/>
      </c>
      <c r="G180" s="19" t="s">
        <v>108</v>
      </c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7"/>
      <c r="E181" s="17"/>
      <c r="F181" s="18" t="str">
        <f aca="false">IF(OR(D181="",E181=""),"",(E181-D181)*1440)</f>
        <v/>
      </c>
      <c r="G181" s="19" t="s">
        <v>108</v>
      </c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7"/>
      <c r="E182" s="17"/>
      <c r="F182" s="18" t="str">
        <f aca="false">IF(OR(D182="",E182=""),"",(E182-D182)*1440)</f>
        <v/>
      </c>
      <c r="G182" s="19" t="s">
        <v>108</v>
      </c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7"/>
      <c r="E183" s="17"/>
      <c r="F183" s="18" t="str">
        <f aca="false">IF(OR(D183="",E183=""),"",(E183-D183)*1440)</f>
        <v/>
      </c>
      <c r="G183" s="19" t="s">
        <v>108</v>
      </c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7"/>
      <c r="E184" s="17"/>
      <c r="F184" s="18" t="str">
        <f aca="false">IF(OR(D184="",E184=""),"",(E184-D184)*1440)</f>
        <v/>
      </c>
      <c r="G184" s="19" t="s">
        <v>108</v>
      </c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7"/>
      <c r="E185" s="17"/>
      <c r="F185" s="18" t="str">
        <f aca="false">IF(OR(D185="",E185=""),"",(E185-D185)*1440)</f>
        <v/>
      </c>
      <c r="G185" s="19" t="s">
        <v>108</v>
      </c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7"/>
      <c r="E186" s="17"/>
      <c r="F186" s="18" t="str">
        <f aca="false">IF(OR(D186="",E186=""),"",(E186-D186)*1440)</f>
        <v/>
      </c>
      <c r="G186" s="19" t="s">
        <v>108</v>
      </c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7"/>
      <c r="E187" s="17"/>
      <c r="F187" s="18" t="str">
        <f aca="false">IF(OR(D187="",E187=""),"",(E187-D187)*1440)</f>
        <v/>
      </c>
      <c r="G187" s="19" t="s">
        <v>108</v>
      </c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7"/>
      <c r="E188" s="17"/>
      <c r="F188" s="18" t="str">
        <f aca="false">IF(OR(D188="",E188=""),"",(E188-D188)*1440)</f>
        <v/>
      </c>
      <c r="G188" s="19" t="s">
        <v>108</v>
      </c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7"/>
      <c r="E189" s="17"/>
      <c r="F189" s="18" t="str">
        <f aca="false">IF(OR(D189="",E189=""),"",(E189-D189)*1440)</f>
        <v/>
      </c>
      <c r="G189" s="19" t="s">
        <v>108</v>
      </c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7"/>
      <c r="E190" s="17"/>
      <c r="F190" s="18" t="str">
        <f aca="false">IF(OR(D190="",E190=""),"",(E190-D190)*1440)</f>
        <v/>
      </c>
      <c r="G190" s="19" t="s">
        <v>108</v>
      </c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7"/>
      <c r="E191" s="17"/>
      <c r="F191" s="18" t="str">
        <f aca="false">IF(OR(D191="",E191=""),"",(E191-D191)*1440)</f>
        <v/>
      </c>
      <c r="G191" s="19" t="s">
        <v>108</v>
      </c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7"/>
      <c r="E192" s="17"/>
      <c r="F192" s="18" t="str">
        <f aca="false">IF(OR(D192="",E192=""),"",(E192-D192)*1440)</f>
        <v/>
      </c>
      <c r="G192" s="19" t="s">
        <v>108</v>
      </c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7"/>
      <c r="E193" s="17"/>
      <c r="F193" s="18" t="str">
        <f aca="false">IF(OR(D193="",E193=""),"",(E193-D193)*1440)</f>
        <v/>
      </c>
      <c r="G193" s="19" t="s">
        <v>108</v>
      </c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7"/>
      <c r="E194" s="17"/>
      <c r="F194" s="18" t="str">
        <f aca="false">IF(OR(D194="",E194=""),"",(E194-D194)*1440)</f>
        <v/>
      </c>
      <c r="G194" s="19" t="s">
        <v>108</v>
      </c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7"/>
      <c r="E195" s="17"/>
      <c r="F195" s="18" t="str">
        <f aca="false">IF(OR(D195="",E195=""),"",(E195-D195)*1440)</f>
        <v/>
      </c>
      <c r="G195" s="19" t="s">
        <v>108</v>
      </c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7"/>
      <c r="E196" s="17"/>
      <c r="F196" s="18" t="str">
        <f aca="false">IF(OR(D196="",E196=""),"",(E196-D196)*1440)</f>
        <v/>
      </c>
      <c r="G196" s="19" t="s">
        <v>108</v>
      </c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7"/>
      <c r="E197" s="17"/>
      <c r="F197" s="18" t="str">
        <f aca="false">IF(OR(D197="",E197=""),"",(E197-D197)*1440)</f>
        <v/>
      </c>
      <c r="G197" s="19" t="s">
        <v>108</v>
      </c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7"/>
      <c r="E198" s="17"/>
      <c r="F198" s="18" t="str">
        <f aca="false">IF(OR(D198="",E198=""),"",(E198-D198)*1440)</f>
        <v/>
      </c>
      <c r="G198" s="19" t="s">
        <v>108</v>
      </c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7"/>
      <c r="E199" s="17"/>
      <c r="F199" s="18" t="str">
        <f aca="false">IF(OR(D199="",E199=""),"",(E199-D199)*1440)</f>
        <v/>
      </c>
      <c r="G199" s="19" t="s">
        <v>108</v>
      </c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7"/>
      <c r="E200" s="17"/>
      <c r="F200" s="18" t="str">
        <f aca="false">IF(OR(D200="",E200=""),"",(E200-D200)*1440)</f>
        <v/>
      </c>
      <c r="G200" s="19" t="s">
        <v>108</v>
      </c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7"/>
      <c r="E201" s="17"/>
      <c r="F201" s="18" t="str">
        <f aca="false">IF(OR(D201="",E201=""),"",(E201-D201)*1440)</f>
        <v/>
      </c>
      <c r="G201" s="19" t="s">
        <v>108</v>
      </c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7"/>
      <c r="E202" s="17"/>
      <c r="F202" s="18" t="str">
        <f aca="false">IF(OR(D202="",E202=""),"",(E202-D202)*1440)</f>
        <v/>
      </c>
      <c r="G202" s="19" t="s">
        <v>108</v>
      </c>
    </row>
  </sheetData>
  <dataValidations count="1">
    <dataValidation allowBlank="true" errorStyle="stop" operator="between" showDropDown="false" showErrorMessage="false" showInputMessage="false" sqref="B3:B202" type="list">
      <formula1>Listas!$B$2:$B$14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30" hidden="false" customHeight="true" outlineLevel="0" collapsed="false">
      <c r="A1" s="8" t="s">
        <v>109</v>
      </c>
      <c r="B1" s="8" t="s">
        <v>99</v>
      </c>
      <c r="C1" s="8" t="s">
        <v>100</v>
      </c>
      <c r="D1" s="8" t="s">
        <v>110</v>
      </c>
      <c r="E1" s="8" t="s">
        <v>65</v>
      </c>
      <c r="F1" s="8" t="s">
        <v>111</v>
      </c>
      <c r="G1" s="8" t="s">
        <v>112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2" t="s">
        <v>8</v>
      </c>
      <c r="E2" s="12" t="s">
        <v>15</v>
      </c>
      <c r="F2" s="12" t="s">
        <v>113</v>
      </c>
      <c r="G2" s="12" t="s">
        <v>14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0"/>
      <c r="E3" s="10"/>
      <c r="F3" s="10"/>
      <c r="G3" s="10"/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0"/>
      <c r="E4" s="10"/>
      <c r="F4" s="10"/>
      <c r="G4" s="10"/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0"/>
      <c r="E5" s="10"/>
      <c r="F5" s="10"/>
      <c r="G5" s="10"/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0"/>
      <c r="E6" s="10"/>
      <c r="F6" s="10"/>
      <c r="G6" s="10"/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0"/>
      <c r="E7" s="10"/>
      <c r="F7" s="10"/>
      <c r="G7" s="10"/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0"/>
      <c r="E8" s="10"/>
      <c r="F8" s="10"/>
      <c r="G8" s="10"/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0"/>
      <c r="E9" s="10"/>
      <c r="F9" s="10"/>
      <c r="G9" s="10"/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0"/>
      <c r="E31" s="10"/>
      <c r="F31" s="10"/>
      <c r="G31" s="10"/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0"/>
      <c r="E33" s="10"/>
      <c r="F33" s="10"/>
      <c r="G33" s="10"/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0"/>
      <c r="E36" s="10"/>
      <c r="F36" s="10"/>
      <c r="G36" s="10"/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0"/>
      <c r="E38" s="10"/>
      <c r="F38" s="10"/>
      <c r="G38" s="10"/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0"/>
      <c r="E39" s="10"/>
      <c r="F39" s="10"/>
      <c r="G39" s="10"/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0"/>
      <c r="E45" s="10"/>
      <c r="F45" s="10"/>
      <c r="G45" s="10"/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0"/>
      <c r="E46" s="10"/>
      <c r="F46" s="10"/>
      <c r="G46" s="10"/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0"/>
      <c r="E47" s="10"/>
      <c r="F47" s="10"/>
      <c r="G47" s="10"/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0"/>
      <c r="E48" s="10"/>
      <c r="F48" s="10"/>
      <c r="G48" s="10"/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0"/>
      <c r="E49" s="10"/>
      <c r="F49" s="10"/>
      <c r="G49" s="10"/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0"/>
      <c r="E51" s="10"/>
      <c r="F51" s="10"/>
      <c r="G51" s="10"/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0"/>
      <c r="E52" s="10"/>
      <c r="F52" s="10"/>
      <c r="G52" s="10"/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0"/>
      <c r="E53" s="10"/>
      <c r="F53" s="10"/>
      <c r="G53" s="10"/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0"/>
      <c r="E54" s="10"/>
      <c r="F54" s="10"/>
      <c r="G54" s="10"/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0"/>
      <c r="E55" s="10"/>
      <c r="F55" s="10"/>
      <c r="G55" s="10"/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0"/>
      <c r="E56" s="10"/>
      <c r="F56" s="10"/>
      <c r="G56" s="10"/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0"/>
      <c r="E57" s="10"/>
      <c r="F57" s="10"/>
      <c r="G57" s="10"/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0"/>
      <c r="E58" s="10"/>
      <c r="F58" s="10"/>
      <c r="G58" s="10"/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0"/>
      <c r="E59" s="10"/>
      <c r="F59" s="10"/>
      <c r="G59" s="10"/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0"/>
      <c r="E60" s="10"/>
      <c r="F60" s="10"/>
      <c r="G60" s="10"/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0"/>
      <c r="E61" s="10"/>
      <c r="F61" s="10"/>
      <c r="G61" s="10"/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0"/>
      <c r="E62" s="10"/>
      <c r="F62" s="10"/>
      <c r="G62" s="10"/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0"/>
      <c r="E63" s="10"/>
      <c r="F63" s="10"/>
      <c r="G63" s="10"/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0"/>
      <c r="E64" s="10"/>
      <c r="F64" s="10"/>
      <c r="G64" s="10"/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0"/>
      <c r="E65" s="10"/>
      <c r="F65" s="10"/>
      <c r="G65" s="10"/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0"/>
      <c r="E66" s="10"/>
      <c r="F66" s="10"/>
      <c r="G66" s="10"/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0"/>
      <c r="E67" s="10"/>
      <c r="F67" s="10"/>
      <c r="G67" s="10"/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0"/>
      <c r="E68" s="10"/>
      <c r="F68" s="10"/>
      <c r="G68" s="10"/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0"/>
      <c r="E69" s="10"/>
      <c r="F69" s="10"/>
      <c r="G69" s="10"/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0"/>
      <c r="E70" s="10"/>
      <c r="F70" s="10"/>
      <c r="G70" s="10"/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0"/>
      <c r="E71" s="10"/>
      <c r="F71" s="10"/>
      <c r="G71" s="10"/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0"/>
      <c r="E72" s="10"/>
      <c r="F72" s="10"/>
      <c r="G72" s="10"/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0"/>
      <c r="E73" s="10"/>
      <c r="F73" s="10"/>
      <c r="G73" s="10"/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0"/>
      <c r="E74" s="10"/>
      <c r="F74" s="10"/>
      <c r="G74" s="10"/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0"/>
      <c r="E75" s="10"/>
      <c r="F75" s="10"/>
      <c r="G75" s="10"/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0"/>
      <c r="E76" s="10"/>
      <c r="F76" s="10"/>
      <c r="G76" s="10"/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0"/>
      <c r="E77" s="10"/>
      <c r="F77" s="10"/>
      <c r="G77" s="10"/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0"/>
      <c r="E78" s="10"/>
      <c r="F78" s="10"/>
      <c r="G78" s="10"/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0"/>
      <c r="E79" s="10"/>
      <c r="F79" s="10"/>
      <c r="G79" s="10"/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0"/>
      <c r="E80" s="10"/>
      <c r="F80" s="10"/>
      <c r="G80" s="10"/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0"/>
      <c r="E81" s="10"/>
      <c r="F81" s="10"/>
      <c r="G81" s="10"/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0"/>
      <c r="E82" s="10"/>
      <c r="F82" s="10"/>
      <c r="G82" s="10"/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0"/>
      <c r="E83" s="10"/>
      <c r="F83" s="10"/>
      <c r="G83" s="10"/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0"/>
      <c r="E84" s="10"/>
      <c r="F84" s="10"/>
      <c r="G84" s="10"/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0"/>
      <c r="E85" s="10"/>
      <c r="F85" s="10"/>
      <c r="G85" s="10"/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0"/>
      <c r="E86" s="10"/>
      <c r="F86" s="10"/>
      <c r="G86" s="10"/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0"/>
      <c r="E88" s="10"/>
      <c r="F88" s="10"/>
      <c r="G88" s="10"/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0"/>
      <c r="E89" s="10"/>
      <c r="F89" s="10"/>
      <c r="G89" s="10"/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0"/>
      <c r="E90" s="10"/>
      <c r="F90" s="10"/>
      <c r="G90" s="10"/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0"/>
      <c r="E91" s="10"/>
      <c r="F91" s="10"/>
      <c r="G91" s="10"/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0"/>
      <c r="E92" s="10"/>
      <c r="F92" s="10"/>
      <c r="G92" s="10"/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0"/>
      <c r="E93" s="10"/>
      <c r="F93" s="10"/>
      <c r="G93" s="10"/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0"/>
      <c r="E94" s="10"/>
      <c r="F94" s="10"/>
      <c r="G94" s="10"/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0"/>
      <c r="E95" s="10"/>
      <c r="F95" s="10"/>
      <c r="G95" s="10"/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0"/>
      <c r="E96" s="10"/>
      <c r="F96" s="10"/>
      <c r="G96" s="10"/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0"/>
      <c r="E97" s="10"/>
      <c r="F97" s="10"/>
      <c r="G97" s="10"/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0"/>
      <c r="E98" s="10"/>
      <c r="F98" s="10"/>
      <c r="G98" s="10"/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0"/>
      <c r="E99" s="10"/>
      <c r="F99" s="10"/>
      <c r="G99" s="10"/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0"/>
      <c r="E100" s="10"/>
      <c r="F100" s="10"/>
      <c r="G100" s="10"/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0"/>
      <c r="E101" s="10"/>
      <c r="F101" s="10"/>
      <c r="G101" s="10"/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0"/>
      <c r="E102" s="10"/>
      <c r="F102" s="10"/>
      <c r="G102" s="10"/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0"/>
      <c r="E103" s="10"/>
      <c r="F103" s="10"/>
      <c r="G103" s="10"/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0"/>
      <c r="E104" s="10"/>
      <c r="F104" s="10"/>
      <c r="G104" s="10"/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0"/>
      <c r="E105" s="10"/>
      <c r="F105" s="10"/>
      <c r="G105" s="10"/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0"/>
      <c r="E106" s="10"/>
      <c r="F106" s="10"/>
      <c r="G106" s="10"/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0"/>
      <c r="E107" s="10"/>
      <c r="F107" s="10"/>
      <c r="G107" s="10"/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0"/>
      <c r="E108" s="10"/>
      <c r="F108" s="10"/>
      <c r="G108" s="10"/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0"/>
      <c r="E109" s="10"/>
      <c r="F109" s="10"/>
      <c r="G109" s="10"/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0"/>
      <c r="E110" s="10"/>
      <c r="F110" s="10"/>
      <c r="G110" s="10"/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0"/>
      <c r="E111" s="10"/>
      <c r="F111" s="10"/>
      <c r="G111" s="10"/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0"/>
      <c r="E112" s="10"/>
      <c r="F112" s="10"/>
      <c r="G112" s="10"/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0"/>
      <c r="E113" s="10"/>
      <c r="F113" s="10"/>
      <c r="G113" s="10"/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0"/>
      <c r="E114" s="10"/>
      <c r="F114" s="10"/>
      <c r="G114" s="10"/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0"/>
      <c r="E115" s="10"/>
      <c r="F115" s="10"/>
      <c r="G115" s="10"/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0"/>
      <c r="E116" s="10"/>
      <c r="F116" s="10"/>
      <c r="G116" s="10"/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0"/>
      <c r="E117" s="10"/>
      <c r="F117" s="10"/>
      <c r="G117" s="10"/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0"/>
      <c r="E118" s="10"/>
      <c r="F118" s="10"/>
      <c r="G118" s="10"/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0"/>
      <c r="E119" s="10"/>
      <c r="F119" s="10"/>
      <c r="G119" s="10"/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0"/>
      <c r="E120" s="10"/>
      <c r="F120" s="10"/>
      <c r="G120" s="10"/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0"/>
      <c r="E121" s="10"/>
      <c r="F121" s="10"/>
      <c r="G121" s="10"/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0"/>
      <c r="E122" s="10"/>
      <c r="F122" s="10"/>
      <c r="G122" s="10"/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0"/>
      <c r="E123" s="10"/>
      <c r="F123" s="10"/>
      <c r="G123" s="10"/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0"/>
      <c r="E124" s="10"/>
      <c r="F124" s="10"/>
      <c r="G124" s="10"/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0"/>
      <c r="E125" s="10"/>
      <c r="F125" s="10"/>
      <c r="G125" s="10"/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0"/>
      <c r="E126" s="10"/>
      <c r="F126" s="10"/>
      <c r="G126" s="10"/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0"/>
      <c r="E127" s="10"/>
      <c r="F127" s="10"/>
      <c r="G127" s="10"/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0"/>
      <c r="E128" s="10"/>
      <c r="F128" s="10"/>
      <c r="G128" s="10"/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0"/>
      <c r="E129" s="10"/>
      <c r="F129" s="10"/>
      <c r="G129" s="10"/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0"/>
      <c r="E130" s="10"/>
      <c r="F130" s="10"/>
      <c r="G130" s="10"/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0"/>
      <c r="E131" s="10"/>
      <c r="F131" s="10"/>
      <c r="G131" s="10"/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0"/>
      <c r="E132" s="10"/>
      <c r="F132" s="10"/>
      <c r="G132" s="10"/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0"/>
      <c r="E133" s="10"/>
      <c r="F133" s="10"/>
      <c r="G133" s="10"/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0"/>
      <c r="E134" s="10"/>
      <c r="F134" s="10"/>
      <c r="G134" s="10"/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0"/>
      <c r="E135" s="10"/>
      <c r="F135" s="10"/>
      <c r="G135" s="10"/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0"/>
      <c r="E136" s="10"/>
      <c r="F136" s="10"/>
      <c r="G136" s="10"/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0"/>
      <c r="E137" s="10"/>
      <c r="F137" s="10"/>
      <c r="G137" s="10"/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0"/>
      <c r="E138" s="10"/>
      <c r="F138" s="10"/>
      <c r="G138" s="10"/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0"/>
      <c r="E139" s="10"/>
      <c r="F139" s="10"/>
      <c r="G139" s="10"/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0"/>
      <c r="E140" s="10"/>
      <c r="F140" s="10"/>
      <c r="G140" s="10"/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0"/>
      <c r="E141" s="10"/>
      <c r="F141" s="10"/>
      <c r="G141" s="10"/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0"/>
      <c r="E142" s="10"/>
      <c r="F142" s="10"/>
      <c r="G142" s="10"/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0"/>
      <c r="E143" s="10"/>
      <c r="F143" s="10"/>
      <c r="G143" s="10"/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0"/>
      <c r="E144" s="10"/>
      <c r="F144" s="10"/>
      <c r="G144" s="10"/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0"/>
      <c r="E145" s="10"/>
      <c r="F145" s="10"/>
      <c r="G145" s="10"/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0"/>
      <c r="E146" s="10"/>
      <c r="F146" s="10"/>
      <c r="G146" s="10"/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0"/>
      <c r="E147" s="10"/>
      <c r="F147" s="10"/>
      <c r="G147" s="10"/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0"/>
      <c r="E148" s="10"/>
      <c r="F148" s="10"/>
      <c r="G148" s="10"/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0"/>
      <c r="E149" s="10"/>
      <c r="F149" s="10"/>
      <c r="G149" s="10"/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0"/>
      <c r="E150" s="10"/>
      <c r="F150" s="10"/>
      <c r="G150" s="10"/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0"/>
      <c r="E151" s="10"/>
      <c r="F151" s="10"/>
      <c r="G151" s="10"/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0"/>
      <c r="E152" s="10"/>
      <c r="F152" s="10"/>
      <c r="G152" s="10"/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0"/>
      <c r="E153" s="10"/>
      <c r="F153" s="10"/>
      <c r="G153" s="10"/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0"/>
      <c r="E154" s="10"/>
      <c r="F154" s="10"/>
      <c r="G154" s="10"/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0"/>
      <c r="E155" s="10"/>
      <c r="F155" s="10"/>
      <c r="G155" s="10"/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0"/>
      <c r="E156" s="10"/>
      <c r="F156" s="10"/>
      <c r="G156" s="10"/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0"/>
      <c r="E157" s="10"/>
      <c r="F157" s="10"/>
      <c r="G157" s="10"/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0"/>
      <c r="E158" s="10"/>
      <c r="F158" s="10"/>
      <c r="G158" s="10"/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0"/>
      <c r="E159" s="10"/>
      <c r="F159" s="10"/>
      <c r="G159" s="10"/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0"/>
      <c r="E160" s="10"/>
      <c r="F160" s="10"/>
      <c r="G160" s="10"/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0"/>
      <c r="E161" s="10"/>
      <c r="F161" s="10"/>
      <c r="G161" s="10"/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0"/>
      <c r="E162" s="10"/>
      <c r="F162" s="10"/>
      <c r="G162" s="10"/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0"/>
      <c r="E163" s="10"/>
      <c r="F163" s="10"/>
      <c r="G163" s="10"/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0"/>
      <c r="E164" s="10"/>
      <c r="F164" s="10"/>
      <c r="G164" s="10"/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0"/>
      <c r="E165" s="10"/>
      <c r="F165" s="10"/>
      <c r="G165" s="10"/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0"/>
      <c r="E166" s="10"/>
      <c r="F166" s="10"/>
      <c r="G166" s="10"/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0"/>
      <c r="E167" s="10"/>
      <c r="F167" s="10"/>
      <c r="G167" s="10"/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0"/>
      <c r="E168" s="10"/>
      <c r="F168" s="10"/>
      <c r="G168" s="10"/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0"/>
      <c r="E169" s="10"/>
      <c r="F169" s="10"/>
      <c r="G169" s="10"/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0"/>
      <c r="E170" s="10"/>
      <c r="F170" s="10"/>
      <c r="G170" s="10"/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0"/>
      <c r="E171" s="10"/>
      <c r="F171" s="10"/>
      <c r="G171" s="10"/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0"/>
      <c r="E172" s="10"/>
      <c r="F172" s="10"/>
      <c r="G172" s="10"/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0"/>
      <c r="E173" s="10"/>
      <c r="F173" s="10"/>
      <c r="G173" s="10"/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0"/>
      <c r="E174" s="10"/>
      <c r="F174" s="10"/>
      <c r="G174" s="10"/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0"/>
      <c r="E175" s="10"/>
      <c r="F175" s="10"/>
      <c r="G175" s="10"/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0"/>
      <c r="E176" s="10"/>
      <c r="F176" s="10"/>
      <c r="G176" s="10"/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0"/>
      <c r="E177" s="10"/>
      <c r="F177" s="10"/>
      <c r="G177" s="10"/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0"/>
      <c r="E178" s="10"/>
      <c r="F178" s="10"/>
      <c r="G178" s="10"/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0"/>
      <c r="E179" s="10"/>
      <c r="F179" s="10"/>
      <c r="G179" s="10"/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0"/>
      <c r="E180" s="10"/>
      <c r="F180" s="10"/>
      <c r="G180" s="10"/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0"/>
      <c r="E181" s="10"/>
      <c r="F181" s="10"/>
      <c r="G181" s="10"/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0"/>
      <c r="E182" s="10"/>
      <c r="F182" s="10"/>
      <c r="G182" s="10"/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0"/>
      <c r="E183" s="10"/>
      <c r="F183" s="10"/>
      <c r="G183" s="10"/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0"/>
      <c r="E184" s="10"/>
      <c r="F184" s="10"/>
      <c r="G184" s="10"/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0"/>
      <c r="E185" s="10"/>
      <c r="F185" s="10"/>
      <c r="G185" s="10"/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0"/>
      <c r="E186" s="10"/>
      <c r="F186" s="10"/>
      <c r="G186" s="10"/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0"/>
      <c r="E187" s="10"/>
      <c r="F187" s="10"/>
      <c r="G187" s="10"/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0"/>
      <c r="E188" s="10"/>
      <c r="F188" s="10"/>
      <c r="G188" s="10"/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0"/>
      <c r="E189" s="10"/>
      <c r="F189" s="10"/>
      <c r="G189" s="10"/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0"/>
      <c r="E190" s="10"/>
      <c r="F190" s="10"/>
      <c r="G190" s="10"/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0"/>
      <c r="E191" s="10"/>
      <c r="F191" s="10"/>
      <c r="G191" s="10"/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0"/>
      <c r="E192" s="10"/>
      <c r="F192" s="10"/>
      <c r="G192" s="10"/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0"/>
      <c r="E193" s="10"/>
      <c r="F193" s="10"/>
      <c r="G193" s="10"/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0"/>
      <c r="E194" s="10"/>
      <c r="F194" s="10"/>
      <c r="G194" s="10"/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0"/>
      <c r="E195" s="10"/>
      <c r="F195" s="10"/>
      <c r="G195" s="10"/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0"/>
      <c r="E196" s="10"/>
      <c r="F196" s="10"/>
      <c r="G196" s="10"/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0"/>
      <c r="E197" s="10"/>
      <c r="F197" s="10"/>
      <c r="G197" s="10"/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0"/>
      <c r="E198" s="10"/>
      <c r="F198" s="10"/>
      <c r="G198" s="10"/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0"/>
      <c r="E199" s="10"/>
      <c r="F199" s="10"/>
      <c r="G199" s="10"/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0"/>
      <c r="E200" s="10"/>
      <c r="F200" s="10"/>
      <c r="G200" s="10"/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0"/>
      <c r="E201" s="10"/>
      <c r="F201" s="10"/>
      <c r="G201" s="10"/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0"/>
      <c r="E202" s="10"/>
      <c r="F202" s="10"/>
      <c r="G202" s="10"/>
    </row>
  </sheetData>
  <dataValidations count="4">
    <dataValidation allowBlank="true" errorStyle="stop" operator="between" showDropDown="false" showErrorMessage="false" showInputMessage="false" sqref="B3:B202" type="list">
      <formula1>Listas!$A$2:$A$14</formula1>
      <formula2>0</formula2>
    </dataValidation>
    <dataValidation allowBlank="true" errorStyle="stop" operator="between" showDropDown="false" showErrorMessage="false" showInputMessage="false" sqref="D3:D202" type="list">
      <formula1>Listas!$C$2:$C$3</formula1>
      <formula2>0</formula2>
    </dataValidation>
    <dataValidation allowBlank="true" errorStyle="stop" operator="between" showDropDown="false" showErrorMessage="false" showInputMessage="false" sqref="E3:E202" type="list">
      <formula1>Listas!$D$2:$D$5</formula1>
      <formula2>0</formula2>
    </dataValidation>
    <dataValidation allowBlank="true" errorStyle="stop" operator="between" showDropDown="false" showErrorMessage="false" showInputMessage="false" sqref="G3:G202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30" hidden="false" customHeight="true" outlineLevel="0" collapsed="false">
      <c r="A1" s="8" t="s">
        <v>109</v>
      </c>
      <c r="B1" s="8" t="s">
        <v>99</v>
      </c>
      <c r="C1" s="8" t="s">
        <v>100</v>
      </c>
      <c r="D1" s="8" t="s">
        <v>110</v>
      </c>
      <c r="E1" s="8" t="s">
        <v>65</v>
      </c>
      <c r="F1" s="8" t="s">
        <v>111</v>
      </c>
      <c r="G1" s="8" t="s">
        <v>112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2" t="s">
        <v>8</v>
      </c>
      <c r="E2" s="12" t="s">
        <v>15</v>
      </c>
      <c r="F2" s="12" t="s">
        <v>113</v>
      </c>
      <c r="G2" s="12" t="s">
        <v>14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0"/>
      <c r="E3" s="10"/>
      <c r="F3" s="10"/>
      <c r="G3" s="10"/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0"/>
      <c r="E4" s="10"/>
      <c r="F4" s="10"/>
      <c r="G4" s="10"/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0"/>
      <c r="E5" s="10"/>
      <c r="F5" s="10"/>
      <c r="G5" s="10"/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0"/>
      <c r="E6" s="10"/>
      <c r="F6" s="10"/>
      <c r="G6" s="10"/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0"/>
      <c r="E7" s="10"/>
      <c r="F7" s="10"/>
      <c r="G7" s="10"/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0"/>
      <c r="E8" s="10"/>
      <c r="F8" s="10"/>
      <c r="G8" s="10"/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0"/>
      <c r="E9" s="10"/>
      <c r="F9" s="10"/>
      <c r="G9" s="10"/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0"/>
      <c r="E10" s="10"/>
      <c r="F10" s="10"/>
      <c r="G10" s="10"/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0"/>
      <c r="E11" s="10"/>
      <c r="F11" s="10"/>
      <c r="G11" s="10"/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0"/>
      <c r="E13" s="10"/>
      <c r="F13" s="10"/>
      <c r="G13" s="10"/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0"/>
      <c r="E15" s="10"/>
      <c r="F15" s="10"/>
      <c r="G15" s="10"/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0"/>
      <c r="E16" s="10"/>
      <c r="F16" s="10"/>
      <c r="G16" s="10"/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0"/>
      <c r="E18" s="10"/>
      <c r="F18" s="10"/>
      <c r="G18" s="10"/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0"/>
      <c r="E19" s="10"/>
      <c r="F19" s="10"/>
      <c r="G19" s="10"/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0"/>
      <c r="E20" s="10"/>
      <c r="F20" s="10"/>
      <c r="G20" s="10"/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0"/>
      <c r="E21" s="10"/>
      <c r="F21" s="10"/>
      <c r="G21" s="10"/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0"/>
      <c r="E22" s="10"/>
      <c r="F22" s="10"/>
      <c r="G22" s="10"/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0"/>
      <c r="E23" s="10"/>
      <c r="F23" s="10"/>
      <c r="G23" s="10"/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0"/>
      <c r="E24" s="10"/>
      <c r="F24" s="10"/>
      <c r="G24" s="10"/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0"/>
      <c r="E25" s="10"/>
      <c r="F25" s="10"/>
      <c r="G25" s="10"/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0"/>
      <c r="E26" s="10"/>
      <c r="F26" s="10"/>
      <c r="G26" s="10"/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0"/>
      <c r="E27" s="10"/>
      <c r="F27" s="10"/>
      <c r="G27" s="10"/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0"/>
      <c r="E28" s="10"/>
      <c r="F28" s="10"/>
      <c r="G28" s="10"/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0"/>
      <c r="E29" s="10"/>
      <c r="F29" s="10"/>
      <c r="G29" s="10"/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0"/>
      <c r="E30" s="10"/>
      <c r="F30" s="10"/>
      <c r="G30" s="10"/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0"/>
      <c r="E31" s="10"/>
      <c r="F31" s="10"/>
      <c r="G31" s="10"/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0"/>
      <c r="E32" s="10"/>
      <c r="F32" s="10"/>
      <c r="G32" s="10"/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0"/>
      <c r="E33" s="10"/>
      <c r="F33" s="10"/>
      <c r="G33" s="10"/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0"/>
      <c r="E35" s="10"/>
      <c r="F35" s="10"/>
      <c r="G35" s="10"/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0"/>
      <c r="E36" s="10"/>
      <c r="F36" s="10"/>
      <c r="G36" s="10"/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0"/>
      <c r="E37" s="10"/>
      <c r="F37" s="10"/>
      <c r="G37" s="10"/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0"/>
      <c r="E38" s="10"/>
      <c r="F38" s="10"/>
      <c r="G38" s="10"/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0"/>
      <c r="E39" s="10"/>
      <c r="F39" s="10"/>
      <c r="G39" s="10"/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0"/>
      <c r="E40" s="10"/>
      <c r="F40" s="10"/>
      <c r="G40" s="10"/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0"/>
      <c r="E41" s="10"/>
      <c r="F41" s="10"/>
      <c r="G41" s="10"/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0"/>
      <c r="E42" s="10"/>
      <c r="F42" s="10"/>
      <c r="G42" s="10"/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0"/>
      <c r="E43" s="10"/>
      <c r="F43" s="10"/>
      <c r="G43" s="10"/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0"/>
      <c r="E44" s="10"/>
      <c r="F44" s="10"/>
      <c r="G44" s="10"/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0"/>
      <c r="E45" s="10"/>
      <c r="F45" s="10"/>
      <c r="G45" s="10"/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0"/>
      <c r="E46" s="10"/>
      <c r="F46" s="10"/>
      <c r="G46" s="10"/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0"/>
      <c r="E47" s="10"/>
      <c r="F47" s="10"/>
      <c r="G47" s="10"/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0"/>
      <c r="E48" s="10"/>
      <c r="F48" s="10"/>
      <c r="G48" s="10"/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0"/>
      <c r="E49" s="10"/>
      <c r="F49" s="10"/>
      <c r="G49" s="10"/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0"/>
      <c r="E50" s="10"/>
      <c r="F50" s="10"/>
      <c r="G50" s="10"/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0"/>
      <c r="E51" s="10"/>
      <c r="F51" s="10"/>
      <c r="G51" s="10"/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0"/>
      <c r="E52" s="10"/>
      <c r="F52" s="10"/>
      <c r="G52" s="10"/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0"/>
      <c r="E53" s="10"/>
      <c r="F53" s="10"/>
      <c r="G53" s="10"/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0"/>
      <c r="E54" s="10"/>
      <c r="F54" s="10"/>
      <c r="G54" s="10"/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0"/>
      <c r="E55" s="10"/>
      <c r="F55" s="10"/>
      <c r="G55" s="10"/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0"/>
      <c r="E56" s="10"/>
      <c r="F56" s="10"/>
      <c r="G56" s="10"/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0"/>
      <c r="E57" s="10"/>
      <c r="F57" s="10"/>
      <c r="G57" s="10"/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0"/>
      <c r="E58" s="10"/>
      <c r="F58" s="10"/>
      <c r="G58" s="10"/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0"/>
      <c r="E59" s="10"/>
      <c r="F59" s="10"/>
      <c r="G59" s="10"/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0"/>
      <c r="E60" s="10"/>
      <c r="F60" s="10"/>
      <c r="G60" s="10"/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0"/>
      <c r="E61" s="10"/>
      <c r="F61" s="10"/>
      <c r="G61" s="10"/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0"/>
      <c r="E62" s="10"/>
      <c r="F62" s="10"/>
      <c r="G62" s="10"/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0"/>
      <c r="E63" s="10"/>
      <c r="F63" s="10"/>
      <c r="G63" s="10"/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0"/>
      <c r="E64" s="10"/>
      <c r="F64" s="10"/>
      <c r="G64" s="10"/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0"/>
      <c r="E65" s="10"/>
      <c r="F65" s="10"/>
      <c r="G65" s="10"/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0"/>
      <c r="E66" s="10"/>
      <c r="F66" s="10"/>
      <c r="G66" s="10"/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0"/>
      <c r="E67" s="10"/>
      <c r="F67" s="10"/>
      <c r="G67" s="10"/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0"/>
      <c r="E68" s="10"/>
      <c r="F68" s="10"/>
      <c r="G68" s="10"/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0"/>
      <c r="E69" s="10"/>
      <c r="F69" s="10"/>
      <c r="G69" s="10"/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0"/>
      <c r="E70" s="10"/>
      <c r="F70" s="10"/>
      <c r="G70" s="10"/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0"/>
      <c r="E71" s="10"/>
      <c r="F71" s="10"/>
      <c r="G71" s="10"/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0"/>
      <c r="E72" s="10"/>
      <c r="F72" s="10"/>
      <c r="G72" s="10"/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0"/>
      <c r="E73" s="10"/>
      <c r="F73" s="10"/>
      <c r="G73" s="10"/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0"/>
      <c r="E74" s="10"/>
      <c r="F74" s="10"/>
      <c r="G74" s="10"/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0"/>
      <c r="E75" s="10"/>
      <c r="F75" s="10"/>
      <c r="G75" s="10"/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0"/>
      <c r="E76" s="10"/>
      <c r="F76" s="10"/>
      <c r="G76" s="10"/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0"/>
      <c r="E77" s="10"/>
      <c r="F77" s="10"/>
      <c r="G77" s="10"/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0"/>
      <c r="E78" s="10"/>
      <c r="F78" s="10"/>
      <c r="G78" s="10"/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0"/>
      <c r="E79" s="10"/>
      <c r="F79" s="10"/>
      <c r="G79" s="10"/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0"/>
      <c r="E80" s="10"/>
      <c r="F80" s="10"/>
      <c r="G80" s="10"/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0"/>
      <c r="E81" s="10"/>
      <c r="F81" s="10"/>
      <c r="G81" s="10"/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0"/>
      <c r="E82" s="10"/>
      <c r="F82" s="10"/>
      <c r="G82" s="10"/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0"/>
      <c r="E83" s="10"/>
      <c r="F83" s="10"/>
      <c r="G83" s="10"/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0"/>
      <c r="E84" s="10"/>
      <c r="F84" s="10"/>
      <c r="G84" s="10"/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0"/>
      <c r="E85" s="10"/>
      <c r="F85" s="10"/>
      <c r="G85" s="10"/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0"/>
      <c r="E86" s="10"/>
      <c r="F86" s="10"/>
      <c r="G86" s="10"/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0"/>
      <c r="E87" s="10"/>
      <c r="F87" s="10"/>
      <c r="G87" s="10"/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0"/>
      <c r="E88" s="10"/>
      <c r="F88" s="10"/>
      <c r="G88" s="10"/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0"/>
      <c r="E89" s="10"/>
      <c r="F89" s="10"/>
      <c r="G89" s="10"/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0"/>
      <c r="E90" s="10"/>
      <c r="F90" s="10"/>
      <c r="G90" s="10"/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0"/>
      <c r="E91" s="10"/>
      <c r="F91" s="10"/>
      <c r="G91" s="10"/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0"/>
      <c r="E92" s="10"/>
      <c r="F92" s="10"/>
      <c r="G92" s="10"/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0"/>
      <c r="E93" s="10"/>
      <c r="F93" s="10"/>
      <c r="G93" s="10"/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0"/>
      <c r="E94" s="10"/>
      <c r="F94" s="10"/>
      <c r="G94" s="10"/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0"/>
      <c r="E95" s="10"/>
      <c r="F95" s="10"/>
      <c r="G95" s="10"/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0"/>
      <c r="E96" s="10"/>
      <c r="F96" s="10"/>
      <c r="G96" s="10"/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0"/>
      <c r="E97" s="10"/>
      <c r="F97" s="10"/>
      <c r="G97" s="10"/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0"/>
      <c r="E98" s="10"/>
      <c r="F98" s="10"/>
      <c r="G98" s="10"/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0"/>
      <c r="E99" s="10"/>
      <c r="F99" s="10"/>
      <c r="G99" s="10"/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0"/>
      <c r="E100" s="10"/>
      <c r="F100" s="10"/>
      <c r="G100" s="10"/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0"/>
      <c r="E101" s="10"/>
      <c r="F101" s="10"/>
      <c r="G101" s="10"/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0"/>
      <c r="E102" s="10"/>
      <c r="F102" s="10"/>
      <c r="G102" s="10"/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0"/>
      <c r="E103" s="10"/>
      <c r="F103" s="10"/>
      <c r="G103" s="10"/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0"/>
      <c r="E104" s="10"/>
      <c r="F104" s="10"/>
      <c r="G104" s="10"/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0"/>
      <c r="E105" s="10"/>
      <c r="F105" s="10"/>
      <c r="G105" s="10"/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0"/>
      <c r="E106" s="10"/>
      <c r="F106" s="10"/>
      <c r="G106" s="10"/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0"/>
      <c r="E107" s="10"/>
      <c r="F107" s="10"/>
      <c r="G107" s="10"/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0"/>
      <c r="E108" s="10"/>
      <c r="F108" s="10"/>
      <c r="G108" s="10"/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0"/>
      <c r="E109" s="10"/>
      <c r="F109" s="10"/>
      <c r="G109" s="10"/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0"/>
      <c r="E110" s="10"/>
      <c r="F110" s="10"/>
      <c r="G110" s="10"/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0"/>
      <c r="E111" s="10"/>
      <c r="F111" s="10"/>
      <c r="G111" s="10"/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0"/>
      <c r="E112" s="10"/>
      <c r="F112" s="10"/>
      <c r="G112" s="10"/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0"/>
      <c r="E113" s="10"/>
      <c r="F113" s="10"/>
      <c r="G113" s="10"/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0"/>
      <c r="E114" s="10"/>
      <c r="F114" s="10"/>
      <c r="G114" s="10"/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0"/>
      <c r="E115" s="10"/>
      <c r="F115" s="10"/>
      <c r="G115" s="10"/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0"/>
      <c r="E116" s="10"/>
      <c r="F116" s="10"/>
      <c r="G116" s="10"/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0"/>
      <c r="E117" s="10"/>
      <c r="F117" s="10"/>
      <c r="G117" s="10"/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0"/>
      <c r="E118" s="10"/>
      <c r="F118" s="10"/>
      <c r="G118" s="10"/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0"/>
      <c r="E119" s="10"/>
      <c r="F119" s="10"/>
      <c r="G119" s="10"/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0"/>
      <c r="E120" s="10"/>
      <c r="F120" s="10"/>
      <c r="G120" s="10"/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0"/>
      <c r="E121" s="10"/>
      <c r="F121" s="10"/>
      <c r="G121" s="10"/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0"/>
      <c r="E122" s="10"/>
      <c r="F122" s="10"/>
      <c r="G122" s="10"/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0"/>
      <c r="E123" s="10"/>
      <c r="F123" s="10"/>
      <c r="G123" s="10"/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0"/>
      <c r="E124" s="10"/>
      <c r="F124" s="10"/>
      <c r="G124" s="10"/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0"/>
      <c r="E125" s="10"/>
      <c r="F125" s="10"/>
      <c r="G125" s="10"/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0"/>
      <c r="E126" s="10"/>
      <c r="F126" s="10"/>
      <c r="G126" s="10"/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0"/>
      <c r="E127" s="10"/>
      <c r="F127" s="10"/>
      <c r="G127" s="10"/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0"/>
      <c r="E128" s="10"/>
      <c r="F128" s="10"/>
      <c r="G128" s="10"/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0"/>
      <c r="E129" s="10"/>
      <c r="F129" s="10"/>
      <c r="G129" s="10"/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0"/>
      <c r="E130" s="10"/>
      <c r="F130" s="10"/>
      <c r="G130" s="10"/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0"/>
      <c r="E131" s="10"/>
      <c r="F131" s="10"/>
      <c r="G131" s="10"/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0"/>
      <c r="E132" s="10"/>
      <c r="F132" s="10"/>
      <c r="G132" s="10"/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0"/>
      <c r="E133" s="10"/>
      <c r="F133" s="10"/>
      <c r="G133" s="10"/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0"/>
      <c r="E134" s="10"/>
      <c r="F134" s="10"/>
      <c r="G134" s="10"/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0"/>
      <c r="E135" s="10"/>
      <c r="F135" s="10"/>
      <c r="G135" s="10"/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0"/>
      <c r="E136" s="10"/>
      <c r="F136" s="10"/>
      <c r="G136" s="10"/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0"/>
      <c r="E137" s="10"/>
      <c r="F137" s="10"/>
      <c r="G137" s="10"/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0"/>
      <c r="E138" s="10"/>
      <c r="F138" s="10"/>
      <c r="G138" s="10"/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0"/>
      <c r="E139" s="10"/>
      <c r="F139" s="10"/>
      <c r="G139" s="10"/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0"/>
      <c r="E140" s="10"/>
      <c r="F140" s="10"/>
      <c r="G140" s="10"/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0"/>
      <c r="E141" s="10"/>
      <c r="F141" s="10"/>
      <c r="G141" s="10"/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0"/>
      <c r="E142" s="10"/>
      <c r="F142" s="10"/>
      <c r="G142" s="10"/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0"/>
      <c r="E143" s="10"/>
      <c r="F143" s="10"/>
      <c r="G143" s="10"/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0"/>
      <c r="E144" s="10"/>
      <c r="F144" s="10"/>
      <c r="G144" s="10"/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0"/>
      <c r="E145" s="10"/>
      <c r="F145" s="10"/>
      <c r="G145" s="10"/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0"/>
      <c r="E146" s="10"/>
      <c r="F146" s="10"/>
      <c r="G146" s="10"/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0"/>
      <c r="E147" s="10"/>
      <c r="F147" s="10"/>
      <c r="G147" s="10"/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0"/>
      <c r="E148" s="10"/>
      <c r="F148" s="10"/>
      <c r="G148" s="10"/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0"/>
      <c r="E149" s="10"/>
      <c r="F149" s="10"/>
      <c r="G149" s="10"/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0"/>
      <c r="E150" s="10"/>
      <c r="F150" s="10"/>
      <c r="G150" s="10"/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0"/>
      <c r="E151" s="10"/>
      <c r="F151" s="10"/>
      <c r="G151" s="10"/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0"/>
      <c r="E152" s="10"/>
      <c r="F152" s="10"/>
      <c r="G152" s="10"/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0"/>
      <c r="E153" s="10"/>
      <c r="F153" s="10"/>
      <c r="G153" s="10"/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0"/>
      <c r="E154" s="10"/>
      <c r="F154" s="10"/>
      <c r="G154" s="10"/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0"/>
      <c r="E155" s="10"/>
      <c r="F155" s="10"/>
      <c r="G155" s="10"/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0"/>
      <c r="E156" s="10"/>
      <c r="F156" s="10"/>
      <c r="G156" s="10"/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0"/>
      <c r="E157" s="10"/>
      <c r="F157" s="10"/>
      <c r="G157" s="10"/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0"/>
      <c r="E158" s="10"/>
      <c r="F158" s="10"/>
      <c r="G158" s="10"/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0"/>
      <c r="E159" s="10"/>
      <c r="F159" s="10"/>
      <c r="G159" s="10"/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0"/>
      <c r="E160" s="10"/>
      <c r="F160" s="10"/>
      <c r="G160" s="10"/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0"/>
      <c r="E161" s="10"/>
      <c r="F161" s="10"/>
      <c r="G161" s="10"/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0"/>
      <c r="E162" s="10"/>
      <c r="F162" s="10"/>
      <c r="G162" s="10"/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0"/>
      <c r="E163" s="10"/>
      <c r="F163" s="10"/>
      <c r="G163" s="10"/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0"/>
      <c r="E164" s="10"/>
      <c r="F164" s="10"/>
      <c r="G164" s="10"/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0"/>
      <c r="E165" s="10"/>
      <c r="F165" s="10"/>
      <c r="G165" s="10"/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0"/>
      <c r="E166" s="10"/>
      <c r="F166" s="10"/>
      <c r="G166" s="10"/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0"/>
      <c r="E167" s="10"/>
      <c r="F167" s="10"/>
      <c r="G167" s="10"/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0"/>
      <c r="E168" s="10"/>
      <c r="F168" s="10"/>
      <c r="G168" s="10"/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0"/>
      <c r="E169" s="10"/>
      <c r="F169" s="10"/>
      <c r="G169" s="10"/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0"/>
      <c r="E170" s="10"/>
      <c r="F170" s="10"/>
      <c r="G170" s="10"/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0"/>
      <c r="E171" s="10"/>
      <c r="F171" s="10"/>
      <c r="G171" s="10"/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0"/>
      <c r="E172" s="10"/>
      <c r="F172" s="10"/>
      <c r="G172" s="10"/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0"/>
      <c r="E173" s="10"/>
      <c r="F173" s="10"/>
      <c r="G173" s="10"/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0"/>
      <c r="E174" s="10"/>
      <c r="F174" s="10"/>
      <c r="G174" s="10"/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0"/>
      <c r="E175" s="10"/>
      <c r="F175" s="10"/>
      <c r="G175" s="10"/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0"/>
      <c r="E176" s="10"/>
      <c r="F176" s="10"/>
      <c r="G176" s="10"/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0"/>
      <c r="E177" s="10"/>
      <c r="F177" s="10"/>
      <c r="G177" s="10"/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0"/>
      <c r="E178" s="10"/>
      <c r="F178" s="10"/>
      <c r="G178" s="10"/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0"/>
      <c r="E179" s="10"/>
      <c r="F179" s="10"/>
      <c r="G179" s="10"/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0"/>
      <c r="E180" s="10"/>
      <c r="F180" s="10"/>
      <c r="G180" s="10"/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0"/>
      <c r="E181" s="10"/>
      <c r="F181" s="10"/>
      <c r="G181" s="10"/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0"/>
      <c r="E182" s="10"/>
      <c r="F182" s="10"/>
      <c r="G182" s="10"/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0"/>
      <c r="E183" s="10"/>
      <c r="F183" s="10"/>
      <c r="G183" s="10"/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0"/>
      <c r="E184" s="10"/>
      <c r="F184" s="10"/>
      <c r="G184" s="10"/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0"/>
      <c r="E185" s="10"/>
      <c r="F185" s="10"/>
      <c r="G185" s="10"/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0"/>
      <c r="E186" s="10"/>
      <c r="F186" s="10"/>
      <c r="G186" s="10"/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0"/>
      <c r="E187" s="10"/>
      <c r="F187" s="10"/>
      <c r="G187" s="10"/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0"/>
      <c r="E188" s="10"/>
      <c r="F188" s="10"/>
      <c r="G188" s="10"/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0"/>
      <c r="E189" s="10"/>
      <c r="F189" s="10"/>
      <c r="G189" s="10"/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0"/>
      <c r="E190" s="10"/>
      <c r="F190" s="10"/>
      <c r="G190" s="10"/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0"/>
      <c r="E191" s="10"/>
      <c r="F191" s="10"/>
      <c r="G191" s="10"/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0"/>
      <c r="E192" s="10"/>
      <c r="F192" s="10"/>
      <c r="G192" s="10"/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0"/>
      <c r="E193" s="10"/>
      <c r="F193" s="10"/>
      <c r="G193" s="10"/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0"/>
      <c r="E194" s="10"/>
      <c r="F194" s="10"/>
      <c r="G194" s="10"/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0"/>
      <c r="E195" s="10"/>
      <c r="F195" s="10"/>
      <c r="G195" s="10"/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0"/>
      <c r="E196" s="10"/>
      <c r="F196" s="10"/>
      <c r="G196" s="10"/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0"/>
      <c r="E197" s="10"/>
      <c r="F197" s="10"/>
      <c r="G197" s="10"/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0"/>
      <c r="E198" s="10"/>
      <c r="F198" s="10"/>
      <c r="G198" s="10"/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0"/>
      <c r="E199" s="10"/>
      <c r="F199" s="10"/>
      <c r="G199" s="10"/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0"/>
      <c r="E200" s="10"/>
      <c r="F200" s="10"/>
      <c r="G200" s="10"/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0"/>
      <c r="E201" s="10"/>
      <c r="F201" s="10"/>
      <c r="G201" s="10"/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0"/>
      <c r="E202" s="10"/>
      <c r="F202" s="10"/>
      <c r="G202" s="10"/>
    </row>
  </sheetData>
  <dataValidations count="4">
    <dataValidation allowBlank="true" errorStyle="stop" operator="between" showDropDown="false" showErrorMessage="false" showInputMessage="false" sqref="B3:B202" type="list">
      <formula1>Listas!$B$2:$B$14</formula1>
      <formula2>0</formula2>
    </dataValidation>
    <dataValidation allowBlank="true" errorStyle="stop" operator="between" showDropDown="false" showErrorMessage="false" showInputMessage="false" sqref="D3:D202" type="list">
      <formula1>Listas!$C$2:$C$3</formula1>
      <formula2>0</formula2>
    </dataValidation>
    <dataValidation allowBlank="true" errorStyle="stop" operator="between" showDropDown="false" showErrorMessage="false" showInputMessage="false" sqref="E3:E202" type="list">
      <formula1>Listas!$D$2:$D$5</formula1>
      <formula2>0</formula2>
    </dataValidation>
    <dataValidation allowBlank="true" errorStyle="stop" operator="between" showDropDown="false" showErrorMessage="false" showInputMessage="false" sqref="G3:G202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30" hidden="false" customHeight="true" outlineLevel="0" collapsed="false">
      <c r="A1" s="8" t="s">
        <v>114</v>
      </c>
      <c r="B1" s="8" t="s">
        <v>99</v>
      </c>
      <c r="C1" s="8" t="s">
        <v>100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2" t="s">
        <v>120</v>
      </c>
      <c r="E2" s="12" t="s">
        <v>11</v>
      </c>
      <c r="F2" s="12" t="s">
        <v>8</v>
      </c>
      <c r="G2" s="12" t="s">
        <v>14</v>
      </c>
      <c r="H2" s="12" t="n">
        <v>3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0"/>
      <c r="E3" s="10"/>
      <c r="F3" s="10"/>
      <c r="G3" s="10"/>
      <c r="H3" s="20"/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0"/>
      <c r="E4" s="10"/>
      <c r="F4" s="10"/>
      <c r="G4" s="10"/>
      <c r="H4" s="20"/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0"/>
      <c r="E5" s="10"/>
      <c r="F5" s="10"/>
      <c r="G5" s="10"/>
      <c r="H5" s="20"/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0"/>
      <c r="E6" s="10"/>
      <c r="F6" s="10"/>
      <c r="G6" s="10"/>
      <c r="H6" s="20"/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0"/>
      <c r="E7" s="10"/>
      <c r="F7" s="10"/>
      <c r="G7" s="10"/>
      <c r="H7" s="20"/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0"/>
      <c r="E8" s="10"/>
      <c r="F8" s="10"/>
      <c r="G8" s="10"/>
      <c r="H8" s="20"/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0"/>
      <c r="E9" s="10"/>
      <c r="F9" s="10"/>
      <c r="G9" s="10"/>
      <c r="H9" s="20"/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0"/>
      <c r="E10" s="10"/>
      <c r="F10" s="10"/>
      <c r="G10" s="10"/>
      <c r="H10" s="20"/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0"/>
      <c r="E11" s="10"/>
      <c r="F11" s="10"/>
      <c r="G11" s="10"/>
      <c r="H11" s="20"/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0"/>
      <c r="E12" s="10"/>
      <c r="F12" s="10"/>
      <c r="G12" s="10"/>
      <c r="H12" s="20"/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0"/>
      <c r="E13" s="10"/>
      <c r="F13" s="10"/>
      <c r="G13" s="10"/>
      <c r="H13" s="20"/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0"/>
      <c r="E14" s="10"/>
      <c r="F14" s="10"/>
      <c r="G14" s="10"/>
      <c r="H14" s="20"/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0"/>
      <c r="E15" s="10"/>
      <c r="F15" s="10"/>
      <c r="G15" s="10"/>
      <c r="H15" s="20"/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0"/>
      <c r="E16" s="10"/>
      <c r="F16" s="10"/>
      <c r="G16" s="10"/>
      <c r="H16" s="20"/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0"/>
      <c r="E17" s="10"/>
      <c r="F17" s="10"/>
      <c r="G17" s="10"/>
      <c r="H17" s="20"/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0"/>
      <c r="E18" s="10"/>
      <c r="F18" s="10"/>
      <c r="G18" s="10"/>
      <c r="H18" s="20"/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0"/>
      <c r="E19" s="10"/>
      <c r="F19" s="10"/>
      <c r="G19" s="10"/>
      <c r="H19" s="20"/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0"/>
      <c r="E20" s="10"/>
      <c r="F20" s="10"/>
      <c r="G20" s="10"/>
      <c r="H20" s="20"/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0"/>
      <c r="E21" s="10"/>
      <c r="F21" s="10"/>
      <c r="G21" s="10"/>
      <c r="H21" s="20"/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0"/>
      <c r="E22" s="10"/>
      <c r="F22" s="10"/>
      <c r="G22" s="10"/>
      <c r="H22" s="20"/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0"/>
      <c r="E23" s="10"/>
      <c r="F23" s="10"/>
      <c r="G23" s="10"/>
      <c r="H23" s="20"/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0"/>
      <c r="E24" s="10"/>
      <c r="F24" s="10"/>
      <c r="G24" s="10"/>
      <c r="H24" s="20"/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0"/>
      <c r="E25" s="10"/>
      <c r="F25" s="10"/>
      <c r="G25" s="10"/>
      <c r="H25" s="20"/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0"/>
      <c r="E26" s="10"/>
      <c r="F26" s="10"/>
      <c r="G26" s="10"/>
      <c r="H26" s="20"/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0"/>
      <c r="E27" s="10"/>
      <c r="F27" s="10"/>
      <c r="G27" s="10"/>
      <c r="H27" s="20"/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0"/>
      <c r="E28" s="10"/>
      <c r="F28" s="10"/>
      <c r="G28" s="10"/>
      <c r="H28" s="20"/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0"/>
      <c r="E29" s="10"/>
      <c r="F29" s="10"/>
      <c r="G29" s="10"/>
      <c r="H29" s="20"/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0"/>
      <c r="E30" s="10"/>
      <c r="F30" s="10"/>
      <c r="G30" s="10"/>
      <c r="H30" s="20"/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0"/>
      <c r="E31" s="10"/>
      <c r="F31" s="10"/>
      <c r="G31" s="10"/>
      <c r="H31" s="20"/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0"/>
      <c r="E32" s="10"/>
      <c r="F32" s="10"/>
      <c r="G32" s="10"/>
      <c r="H32" s="20"/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0"/>
      <c r="E33" s="10"/>
      <c r="F33" s="10"/>
      <c r="G33" s="10"/>
      <c r="H33" s="20"/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0"/>
      <c r="E34" s="10"/>
      <c r="F34" s="10"/>
      <c r="G34" s="10"/>
      <c r="H34" s="20"/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0"/>
      <c r="E35" s="10"/>
      <c r="F35" s="10"/>
      <c r="G35" s="10"/>
      <c r="H35" s="20"/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0"/>
      <c r="E36" s="10"/>
      <c r="F36" s="10"/>
      <c r="G36" s="10"/>
      <c r="H36" s="20"/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0"/>
      <c r="E37" s="10"/>
      <c r="F37" s="10"/>
      <c r="G37" s="10"/>
      <c r="H37" s="20"/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0"/>
      <c r="E38" s="10"/>
      <c r="F38" s="10"/>
      <c r="G38" s="10"/>
      <c r="H38" s="20"/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0"/>
      <c r="E39" s="10"/>
      <c r="F39" s="10"/>
      <c r="G39" s="10"/>
      <c r="H39" s="20"/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0"/>
      <c r="E40" s="10"/>
      <c r="F40" s="10"/>
      <c r="G40" s="10"/>
      <c r="H40" s="20"/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0"/>
      <c r="E41" s="10"/>
      <c r="F41" s="10"/>
      <c r="G41" s="10"/>
      <c r="H41" s="20"/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0"/>
      <c r="E42" s="10"/>
      <c r="F42" s="10"/>
      <c r="G42" s="10"/>
      <c r="H42" s="20"/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0"/>
      <c r="E43" s="10"/>
      <c r="F43" s="10"/>
      <c r="G43" s="10"/>
      <c r="H43" s="20"/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0"/>
      <c r="E44" s="10"/>
      <c r="F44" s="10"/>
      <c r="G44" s="10"/>
      <c r="H44" s="20"/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0"/>
      <c r="E45" s="10"/>
      <c r="F45" s="10"/>
      <c r="G45" s="10"/>
      <c r="H45" s="20"/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0"/>
      <c r="E46" s="10"/>
      <c r="F46" s="10"/>
      <c r="G46" s="10"/>
      <c r="H46" s="20"/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0"/>
      <c r="E47" s="10"/>
      <c r="F47" s="10"/>
      <c r="G47" s="10"/>
      <c r="H47" s="20"/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0"/>
      <c r="E48" s="10"/>
      <c r="F48" s="10"/>
      <c r="G48" s="10"/>
      <c r="H48" s="20"/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0"/>
      <c r="E49" s="10"/>
      <c r="F49" s="10"/>
      <c r="G49" s="10"/>
      <c r="H49" s="20"/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0"/>
      <c r="E50" s="10"/>
      <c r="F50" s="10"/>
      <c r="G50" s="10"/>
      <c r="H50" s="20"/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0"/>
      <c r="E51" s="10"/>
      <c r="F51" s="10"/>
      <c r="G51" s="10"/>
      <c r="H51" s="20"/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0"/>
      <c r="E52" s="10"/>
      <c r="F52" s="10"/>
      <c r="G52" s="10"/>
      <c r="H52" s="20"/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0"/>
      <c r="E53" s="10"/>
      <c r="F53" s="10"/>
      <c r="G53" s="10"/>
      <c r="H53" s="20"/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0"/>
      <c r="E54" s="10"/>
      <c r="F54" s="10"/>
      <c r="G54" s="10"/>
      <c r="H54" s="20"/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0"/>
      <c r="E55" s="10"/>
      <c r="F55" s="10"/>
      <c r="G55" s="10"/>
      <c r="H55" s="20"/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0"/>
      <c r="E56" s="10"/>
      <c r="F56" s="10"/>
      <c r="G56" s="10"/>
      <c r="H56" s="20"/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0"/>
      <c r="E57" s="10"/>
      <c r="F57" s="10"/>
      <c r="G57" s="10"/>
      <c r="H57" s="20"/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0"/>
      <c r="E58" s="10"/>
      <c r="F58" s="10"/>
      <c r="G58" s="10"/>
      <c r="H58" s="20"/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0"/>
      <c r="E59" s="10"/>
      <c r="F59" s="10"/>
      <c r="G59" s="10"/>
      <c r="H59" s="20"/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0"/>
      <c r="E60" s="10"/>
      <c r="F60" s="10"/>
      <c r="G60" s="10"/>
      <c r="H60" s="20"/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0"/>
      <c r="E61" s="10"/>
      <c r="F61" s="10"/>
      <c r="G61" s="10"/>
      <c r="H61" s="20"/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0"/>
      <c r="E62" s="10"/>
      <c r="F62" s="10"/>
      <c r="G62" s="10"/>
      <c r="H62" s="20"/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0"/>
      <c r="E63" s="10"/>
      <c r="F63" s="10"/>
      <c r="G63" s="10"/>
      <c r="H63" s="20"/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0"/>
      <c r="E64" s="10"/>
      <c r="F64" s="10"/>
      <c r="G64" s="10"/>
      <c r="H64" s="20"/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0"/>
      <c r="E65" s="10"/>
      <c r="F65" s="10"/>
      <c r="G65" s="10"/>
      <c r="H65" s="20"/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0"/>
      <c r="E66" s="10"/>
      <c r="F66" s="10"/>
      <c r="G66" s="10"/>
      <c r="H66" s="20"/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0"/>
      <c r="E67" s="10"/>
      <c r="F67" s="10"/>
      <c r="G67" s="10"/>
      <c r="H67" s="20"/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0"/>
      <c r="E68" s="10"/>
      <c r="F68" s="10"/>
      <c r="G68" s="10"/>
      <c r="H68" s="20"/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0"/>
      <c r="E69" s="10"/>
      <c r="F69" s="10"/>
      <c r="G69" s="10"/>
      <c r="H69" s="20"/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0"/>
      <c r="E70" s="10"/>
      <c r="F70" s="10"/>
      <c r="G70" s="10"/>
      <c r="H70" s="20"/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0"/>
      <c r="E71" s="10"/>
      <c r="F71" s="10"/>
      <c r="G71" s="10"/>
      <c r="H71" s="20"/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0"/>
      <c r="E72" s="10"/>
      <c r="F72" s="10"/>
      <c r="G72" s="10"/>
      <c r="H72" s="20"/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0"/>
      <c r="E73" s="10"/>
      <c r="F73" s="10"/>
      <c r="G73" s="10"/>
      <c r="H73" s="20"/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0"/>
      <c r="E74" s="10"/>
      <c r="F74" s="10"/>
      <c r="G74" s="10"/>
      <c r="H74" s="20"/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0"/>
      <c r="E75" s="10"/>
      <c r="F75" s="10"/>
      <c r="G75" s="10"/>
      <c r="H75" s="20"/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0"/>
      <c r="E76" s="10"/>
      <c r="F76" s="10"/>
      <c r="G76" s="10"/>
      <c r="H76" s="20"/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0"/>
      <c r="E77" s="10"/>
      <c r="F77" s="10"/>
      <c r="G77" s="10"/>
      <c r="H77" s="20"/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0"/>
      <c r="E78" s="10"/>
      <c r="F78" s="10"/>
      <c r="G78" s="10"/>
      <c r="H78" s="20"/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0"/>
      <c r="E79" s="10"/>
      <c r="F79" s="10"/>
      <c r="G79" s="10"/>
      <c r="H79" s="20"/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0"/>
      <c r="E80" s="10"/>
      <c r="F80" s="10"/>
      <c r="G80" s="10"/>
      <c r="H80" s="20"/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0"/>
      <c r="E81" s="10"/>
      <c r="F81" s="10"/>
      <c r="G81" s="10"/>
      <c r="H81" s="20"/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0"/>
      <c r="E82" s="10"/>
      <c r="F82" s="10"/>
      <c r="G82" s="10"/>
      <c r="H82" s="20"/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0"/>
      <c r="E83" s="10"/>
      <c r="F83" s="10"/>
      <c r="G83" s="10"/>
      <c r="H83" s="20"/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0"/>
      <c r="E84" s="10"/>
      <c r="F84" s="10"/>
      <c r="G84" s="10"/>
      <c r="H84" s="20"/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0"/>
      <c r="E85" s="10"/>
      <c r="F85" s="10"/>
      <c r="G85" s="10"/>
      <c r="H85" s="20"/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0"/>
      <c r="E86" s="10"/>
      <c r="F86" s="10"/>
      <c r="G86" s="10"/>
      <c r="H86" s="20"/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0"/>
      <c r="E87" s="10"/>
      <c r="F87" s="10"/>
      <c r="G87" s="10"/>
      <c r="H87" s="20"/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0"/>
      <c r="E88" s="10"/>
      <c r="F88" s="10"/>
      <c r="G88" s="10"/>
      <c r="H88" s="20"/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0"/>
      <c r="E89" s="10"/>
      <c r="F89" s="10"/>
      <c r="G89" s="10"/>
      <c r="H89" s="20"/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0"/>
      <c r="E90" s="10"/>
      <c r="F90" s="10"/>
      <c r="G90" s="10"/>
      <c r="H90" s="20"/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0"/>
      <c r="E91" s="10"/>
      <c r="F91" s="10"/>
      <c r="G91" s="10"/>
      <c r="H91" s="20"/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0"/>
      <c r="E92" s="10"/>
      <c r="F92" s="10"/>
      <c r="G92" s="10"/>
      <c r="H92" s="20"/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0"/>
      <c r="E93" s="10"/>
      <c r="F93" s="10"/>
      <c r="G93" s="10"/>
      <c r="H93" s="20"/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0"/>
      <c r="E94" s="10"/>
      <c r="F94" s="10"/>
      <c r="G94" s="10"/>
      <c r="H94" s="20"/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0"/>
      <c r="E95" s="10"/>
      <c r="F95" s="10"/>
      <c r="G95" s="10"/>
      <c r="H95" s="20"/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0"/>
      <c r="E96" s="10"/>
      <c r="F96" s="10"/>
      <c r="G96" s="10"/>
      <c r="H96" s="20"/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0"/>
      <c r="E97" s="10"/>
      <c r="F97" s="10"/>
      <c r="G97" s="10"/>
      <c r="H97" s="20"/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0"/>
      <c r="E98" s="10"/>
      <c r="F98" s="10"/>
      <c r="G98" s="10"/>
      <c r="H98" s="20"/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0"/>
      <c r="E99" s="10"/>
      <c r="F99" s="10"/>
      <c r="G99" s="10"/>
      <c r="H99" s="20"/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0"/>
      <c r="E100" s="10"/>
      <c r="F100" s="10"/>
      <c r="G100" s="10"/>
      <c r="H100" s="20"/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0"/>
      <c r="E101" s="10"/>
      <c r="F101" s="10"/>
      <c r="G101" s="10"/>
      <c r="H101" s="20"/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0"/>
      <c r="E102" s="10"/>
      <c r="F102" s="10"/>
      <c r="G102" s="10"/>
      <c r="H102" s="20"/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0"/>
      <c r="E103" s="10"/>
      <c r="F103" s="10"/>
      <c r="G103" s="10"/>
      <c r="H103" s="20"/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0"/>
      <c r="E104" s="10"/>
      <c r="F104" s="10"/>
      <c r="G104" s="10"/>
      <c r="H104" s="20"/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0"/>
      <c r="E105" s="10"/>
      <c r="F105" s="10"/>
      <c r="G105" s="10"/>
      <c r="H105" s="20"/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0"/>
      <c r="E106" s="10"/>
      <c r="F106" s="10"/>
      <c r="G106" s="10"/>
      <c r="H106" s="20"/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0"/>
      <c r="E107" s="10"/>
      <c r="F107" s="10"/>
      <c r="G107" s="10"/>
      <c r="H107" s="20"/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0"/>
      <c r="E108" s="10"/>
      <c r="F108" s="10"/>
      <c r="G108" s="10"/>
      <c r="H108" s="20"/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0"/>
      <c r="E109" s="10"/>
      <c r="F109" s="10"/>
      <c r="G109" s="10"/>
      <c r="H109" s="20"/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0"/>
      <c r="E110" s="10"/>
      <c r="F110" s="10"/>
      <c r="G110" s="10"/>
      <c r="H110" s="20"/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0"/>
      <c r="E111" s="10"/>
      <c r="F111" s="10"/>
      <c r="G111" s="10"/>
      <c r="H111" s="20"/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0"/>
      <c r="E112" s="10"/>
      <c r="F112" s="10"/>
      <c r="G112" s="10"/>
      <c r="H112" s="20"/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0"/>
      <c r="E113" s="10"/>
      <c r="F113" s="10"/>
      <c r="G113" s="10"/>
      <c r="H113" s="20"/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0"/>
      <c r="E114" s="10"/>
      <c r="F114" s="10"/>
      <c r="G114" s="10"/>
      <c r="H114" s="20"/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0"/>
      <c r="E115" s="10"/>
      <c r="F115" s="10"/>
      <c r="G115" s="10"/>
      <c r="H115" s="20"/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0"/>
      <c r="E116" s="10"/>
      <c r="F116" s="10"/>
      <c r="G116" s="10"/>
      <c r="H116" s="20"/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0"/>
      <c r="E117" s="10"/>
      <c r="F117" s="10"/>
      <c r="G117" s="10"/>
      <c r="H117" s="20"/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0"/>
      <c r="E118" s="10"/>
      <c r="F118" s="10"/>
      <c r="G118" s="10"/>
      <c r="H118" s="20"/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0"/>
      <c r="E119" s="10"/>
      <c r="F119" s="10"/>
      <c r="G119" s="10"/>
      <c r="H119" s="20"/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0"/>
      <c r="E120" s="10"/>
      <c r="F120" s="10"/>
      <c r="G120" s="10"/>
      <c r="H120" s="20"/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0"/>
      <c r="E121" s="10"/>
      <c r="F121" s="10"/>
      <c r="G121" s="10"/>
      <c r="H121" s="20"/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0"/>
      <c r="E122" s="10"/>
      <c r="F122" s="10"/>
      <c r="G122" s="10"/>
      <c r="H122" s="20"/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0"/>
      <c r="E123" s="10"/>
      <c r="F123" s="10"/>
      <c r="G123" s="10"/>
      <c r="H123" s="20"/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0"/>
      <c r="E124" s="10"/>
      <c r="F124" s="10"/>
      <c r="G124" s="10"/>
      <c r="H124" s="20"/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0"/>
      <c r="E125" s="10"/>
      <c r="F125" s="10"/>
      <c r="G125" s="10"/>
      <c r="H125" s="20"/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0"/>
      <c r="E126" s="10"/>
      <c r="F126" s="10"/>
      <c r="G126" s="10"/>
      <c r="H126" s="20"/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0"/>
      <c r="E127" s="10"/>
      <c r="F127" s="10"/>
      <c r="G127" s="10"/>
      <c r="H127" s="20"/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0"/>
      <c r="E128" s="10"/>
      <c r="F128" s="10"/>
      <c r="G128" s="10"/>
      <c r="H128" s="20"/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0"/>
      <c r="E129" s="10"/>
      <c r="F129" s="10"/>
      <c r="G129" s="10"/>
      <c r="H129" s="20"/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0"/>
      <c r="E130" s="10"/>
      <c r="F130" s="10"/>
      <c r="G130" s="10"/>
      <c r="H130" s="20"/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0"/>
      <c r="E131" s="10"/>
      <c r="F131" s="10"/>
      <c r="G131" s="10"/>
      <c r="H131" s="20"/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0"/>
      <c r="E132" s="10"/>
      <c r="F132" s="10"/>
      <c r="G132" s="10"/>
      <c r="H132" s="20"/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0"/>
      <c r="E133" s="10"/>
      <c r="F133" s="10"/>
      <c r="G133" s="10"/>
      <c r="H133" s="20"/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0"/>
      <c r="E134" s="10"/>
      <c r="F134" s="10"/>
      <c r="G134" s="10"/>
      <c r="H134" s="20"/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0"/>
      <c r="E135" s="10"/>
      <c r="F135" s="10"/>
      <c r="G135" s="10"/>
      <c r="H135" s="20"/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0"/>
      <c r="E136" s="10"/>
      <c r="F136" s="10"/>
      <c r="G136" s="10"/>
      <c r="H136" s="20"/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0"/>
      <c r="E137" s="10"/>
      <c r="F137" s="10"/>
      <c r="G137" s="10"/>
      <c r="H137" s="20"/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0"/>
      <c r="E138" s="10"/>
      <c r="F138" s="10"/>
      <c r="G138" s="10"/>
      <c r="H138" s="20"/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0"/>
      <c r="E139" s="10"/>
      <c r="F139" s="10"/>
      <c r="G139" s="10"/>
      <c r="H139" s="20"/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0"/>
      <c r="E140" s="10"/>
      <c r="F140" s="10"/>
      <c r="G140" s="10"/>
      <c r="H140" s="20"/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0"/>
      <c r="E141" s="10"/>
      <c r="F141" s="10"/>
      <c r="G141" s="10"/>
      <c r="H141" s="20"/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0"/>
      <c r="E142" s="10"/>
      <c r="F142" s="10"/>
      <c r="G142" s="10"/>
      <c r="H142" s="20"/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0"/>
      <c r="E143" s="10"/>
      <c r="F143" s="10"/>
      <c r="G143" s="10"/>
      <c r="H143" s="20"/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0"/>
      <c r="E144" s="10"/>
      <c r="F144" s="10"/>
      <c r="G144" s="10"/>
      <c r="H144" s="20"/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0"/>
      <c r="E145" s="10"/>
      <c r="F145" s="10"/>
      <c r="G145" s="10"/>
      <c r="H145" s="20"/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0"/>
      <c r="E146" s="10"/>
      <c r="F146" s="10"/>
      <c r="G146" s="10"/>
      <c r="H146" s="20"/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0"/>
      <c r="E147" s="10"/>
      <c r="F147" s="10"/>
      <c r="G147" s="10"/>
      <c r="H147" s="20"/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0"/>
      <c r="E148" s="10"/>
      <c r="F148" s="10"/>
      <c r="G148" s="10"/>
      <c r="H148" s="20"/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0"/>
      <c r="E149" s="10"/>
      <c r="F149" s="10"/>
      <c r="G149" s="10"/>
      <c r="H149" s="20"/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0"/>
      <c r="E150" s="10"/>
      <c r="F150" s="10"/>
      <c r="G150" s="10"/>
      <c r="H150" s="20"/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0"/>
      <c r="E151" s="10"/>
      <c r="F151" s="10"/>
      <c r="G151" s="10"/>
      <c r="H151" s="20"/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0"/>
      <c r="E152" s="10"/>
      <c r="F152" s="10"/>
      <c r="G152" s="10"/>
      <c r="H152" s="20"/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0"/>
      <c r="E153" s="10"/>
      <c r="F153" s="10"/>
      <c r="G153" s="10"/>
      <c r="H153" s="20"/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0"/>
      <c r="E154" s="10"/>
      <c r="F154" s="10"/>
      <c r="G154" s="10"/>
      <c r="H154" s="20"/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0"/>
      <c r="E155" s="10"/>
      <c r="F155" s="10"/>
      <c r="G155" s="10"/>
      <c r="H155" s="20"/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0"/>
      <c r="E156" s="10"/>
      <c r="F156" s="10"/>
      <c r="G156" s="10"/>
      <c r="H156" s="20"/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0"/>
      <c r="E157" s="10"/>
      <c r="F157" s="10"/>
      <c r="G157" s="10"/>
      <c r="H157" s="20"/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0"/>
      <c r="E158" s="10"/>
      <c r="F158" s="10"/>
      <c r="G158" s="10"/>
      <c r="H158" s="20"/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0"/>
      <c r="E159" s="10"/>
      <c r="F159" s="10"/>
      <c r="G159" s="10"/>
      <c r="H159" s="20"/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0"/>
      <c r="E160" s="10"/>
      <c r="F160" s="10"/>
      <c r="G160" s="10"/>
      <c r="H160" s="20"/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0"/>
      <c r="E161" s="10"/>
      <c r="F161" s="10"/>
      <c r="G161" s="10"/>
      <c r="H161" s="20"/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0"/>
      <c r="E162" s="10"/>
      <c r="F162" s="10"/>
      <c r="G162" s="10"/>
      <c r="H162" s="20"/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0"/>
      <c r="E163" s="10"/>
      <c r="F163" s="10"/>
      <c r="G163" s="10"/>
      <c r="H163" s="20"/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0"/>
      <c r="E164" s="10"/>
      <c r="F164" s="10"/>
      <c r="G164" s="10"/>
      <c r="H164" s="20"/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0"/>
      <c r="E165" s="10"/>
      <c r="F165" s="10"/>
      <c r="G165" s="10"/>
      <c r="H165" s="20"/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0"/>
      <c r="E166" s="10"/>
      <c r="F166" s="10"/>
      <c r="G166" s="10"/>
      <c r="H166" s="20"/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0"/>
      <c r="E167" s="10"/>
      <c r="F167" s="10"/>
      <c r="G167" s="10"/>
      <c r="H167" s="20"/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0"/>
      <c r="E168" s="10"/>
      <c r="F168" s="10"/>
      <c r="G168" s="10"/>
      <c r="H168" s="20"/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0"/>
      <c r="E169" s="10"/>
      <c r="F169" s="10"/>
      <c r="G169" s="10"/>
      <c r="H169" s="20"/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0"/>
      <c r="E170" s="10"/>
      <c r="F170" s="10"/>
      <c r="G170" s="10"/>
      <c r="H170" s="20"/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0"/>
      <c r="E171" s="10"/>
      <c r="F171" s="10"/>
      <c r="G171" s="10"/>
      <c r="H171" s="20"/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0"/>
      <c r="E172" s="10"/>
      <c r="F172" s="10"/>
      <c r="G172" s="10"/>
      <c r="H172" s="20"/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0"/>
      <c r="E173" s="10"/>
      <c r="F173" s="10"/>
      <c r="G173" s="10"/>
      <c r="H173" s="20"/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0"/>
      <c r="E174" s="10"/>
      <c r="F174" s="10"/>
      <c r="G174" s="10"/>
      <c r="H174" s="20"/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0"/>
      <c r="E175" s="10"/>
      <c r="F175" s="10"/>
      <c r="G175" s="10"/>
      <c r="H175" s="20"/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0"/>
      <c r="E176" s="10"/>
      <c r="F176" s="10"/>
      <c r="G176" s="10"/>
      <c r="H176" s="20"/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0"/>
      <c r="E177" s="10"/>
      <c r="F177" s="10"/>
      <c r="G177" s="10"/>
      <c r="H177" s="20"/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0"/>
      <c r="E178" s="10"/>
      <c r="F178" s="10"/>
      <c r="G178" s="10"/>
      <c r="H178" s="20"/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0"/>
      <c r="E179" s="10"/>
      <c r="F179" s="10"/>
      <c r="G179" s="10"/>
      <c r="H179" s="20"/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0"/>
      <c r="E180" s="10"/>
      <c r="F180" s="10"/>
      <c r="G180" s="10"/>
      <c r="H180" s="20"/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0"/>
      <c r="E181" s="10"/>
      <c r="F181" s="10"/>
      <c r="G181" s="10"/>
      <c r="H181" s="20"/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0"/>
      <c r="E182" s="10"/>
      <c r="F182" s="10"/>
      <c r="G182" s="10"/>
      <c r="H182" s="20"/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0"/>
      <c r="E183" s="10"/>
      <c r="F183" s="10"/>
      <c r="G183" s="10"/>
      <c r="H183" s="20"/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0"/>
      <c r="E184" s="10"/>
      <c r="F184" s="10"/>
      <c r="G184" s="10"/>
      <c r="H184" s="20"/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0"/>
      <c r="E185" s="10"/>
      <c r="F185" s="10"/>
      <c r="G185" s="10"/>
      <c r="H185" s="20"/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0"/>
      <c r="E186" s="10"/>
      <c r="F186" s="10"/>
      <c r="G186" s="10"/>
      <c r="H186" s="20"/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0"/>
      <c r="E187" s="10"/>
      <c r="F187" s="10"/>
      <c r="G187" s="10"/>
      <c r="H187" s="20"/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0"/>
      <c r="E188" s="10"/>
      <c r="F188" s="10"/>
      <c r="G188" s="10"/>
      <c r="H188" s="20"/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0"/>
      <c r="E189" s="10"/>
      <c r="F189" s="10"/>
      <c r="G189" s="10"/>
      <c r="H189" s="20"/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0"/>
      <c r="E190" s="10"/>
      <c r="F190" s="10"/>
      <c r="G190" s="10"/>
      <c r="H190" s="20"/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0"/>
      <c r="E191" s="10"/>
      <c r="F191" s="10"/>
      <c r="G191" s="10"/>
      <c r="H191" s="20"/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0"/>
      <c r="E192" s="10"/>
      <c r="F192" s="10"/>
      <c r="G192" s="10"/>
      <c r="H192" s="20"/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0"/>
      <c r="E193" s="10"/>
      <c r="F193" s="10"/>
      <c r="G193" s="10"/>
      <c r="H193" s="20"/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0"/>
      <c r="E194" s="10"/>
      <c r="F194" s="10"/>
      <c r="G194" s="10"/>
      <c r="H194" s="20"/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0"/>
      <c r="E195" s="10"/>
      <c r="F195" s="10"/>
      <c r="G195" s="10"/>
      <c r="H195" s="20"/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0"/>
      <c r="E196" s="10"/>
      <c r="F196" s="10"/>
      <c r="G196" s="10"/>
      <c r="H196" s="20"/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0"/>
      <c r="E197" s="10"/>
      <c r="F197" s="10"/>
      <c r="G197" s="10"/>
      <c r="H197" s="20"/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0"/>
      <c r="E198" s="10"/>
      <c r="F198" s="10"/>
      <c r="G198" s="10"/>
      <c r="H198" s="20"/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0"/>
      <c r="E199" s="10"/>
      <c r="F199" s="10"/>
      <c r="G199" s="10"/>
      <c r="H199" s="20"/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0"/>
      <c r="E200" s="10"/>
      <c r="F200" s="10"/>
      <c r="G200" s="10"/>
      <c r="H200" s="20"/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0"/>
      <c r="E201" s="10"/>
      <c r="F201" s="10"/>
      <c r="G201" s="10"/>
      <c r="H201" s="20"/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0"/>
      <c r="E202" s="10"/>
      <c r="F202" s="10"/>
      <c r="G202" s="10"/>
      <c r="H202" s="20"/>
    </row>
  </sheetData>
  <dataValidations count="5">
    <dataValidation allowBlank="true" errorStyle="stop" operator="between" showDropDown="false" showErrorMessage="false" showInputMessage="false" sqref="B3:B202" type="list">
      <formula1>Listas!$A$2:$A$14</formula1>
      <formula2>0</formula2>
    </dataValidation>
    <dataValidation allowBlank="true" errorStyle="stop" operator="between" showDropDown="false" showErrorMessage="false" showInputMessage="false" sqref="D3:D202" type="list">
      <formula1>Listas!$E$2:$E$8</formula1>
      <formula2>0</formula2>
    </dataValidation>
    <dataValidation allowBlank="true" errorStyle="stop" operator="between" showDropDown="false" showErrorMessage="false" showInputMessage="false" sqref="E3:E202" type="list">
      <formula1>Listas!$F$2:$F$4</formula1>
      <formula2>0</formula2>
    </dataValidation>
    <dataValidation allowBlank="true" errorStyle="stop" operator="between" showDropDown="false" showErrorMessage="false" showInputMessage="false" sqref="F3:F202" type="list">
      <formula1>Listas!$C$2:$C$3</formula1>
      <formula2>0</formula2>
    </dataValidation>
    <dataValidation allowBlank="true" errorStyle="stop" operator="between" showDropDown="false" showErrorMessage="false" showInputMessage="false" sqref="G3:G202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30" hidden="false" customHeight="true" outlineLevel="0" collapsed="false">
      <c r="A1" s="8" t="s">
        <v>114</v>
      </c>
      <c r="B1" s="8" t="s">
        <v>99</v>
      </c>
      <c r="C1" s="8" t="s">
        <v>100</v>
      </c>
      <c r="D1" s="8" t="s">
        <v>115</v>
      </c>
      <c r="E1" s="8" t="s">
        <v>116</v>
      </c>
      <c r="F1" s="8" t="s">
        <v>117</v>
      </c>
      <c r="G1" s="8" t="s">
        <v>118</v>
      </c>
      <c r="H1" s="8" t="s">
        <v>119</v>
      </c>
    </row>
    <row r="2" customFormat="false" ht="15" hidden="false" customHeight="false" outlineLevel="0" collapsed="false">
      <c r="A2" s="12" t="s">
        <v>105</v>
      </c>
      <c r="B2" s="13" t="n">
        <v>46267</v>
      </c>
      <c r="C2" s="12" t="s">
        <v>106</v>
      </c>
      <c r="D2" s="12" t="s">
        <v>120</v>
      </c>
      <c r="E2" s="12" t="s">
        <v>121</v>
      </c>
      <c r="F2" s="12" t="s">
        <v>8</v>
      </c>
      <c r="G2" s="12" t="s">
        <v>14</v>
      </c>
      <c r="H2" s="12" t="n">
        <v>3</v>
      </c>
    </row>
    <row r="3" customFormat="false" ht="15" hidden="false" customHeight="false" outlineLevel="0" collapsed="false">
      <c r="A3" s="9" t="str">
        <f aca="false">IF(B3="","",ROW()-2)</f>
        <v/>
      </c>
      <c r="B3" s="16"/>
      <c r="C3" s="10"/>
      <c r="D3" s="10"/>
      <c r="E3" s="19" t="s">
        <v>121</v>
      </c>
      <c r="F3" s="10"/>
      <c r="G3" s="10"/>
      <c r="H3" s="20"/>
    </row>
    <row r="4" customFormat="false" ht="15" hidden="false" customHeight="false" outlineLevel="0" collapsed="false">
      <c r="A4" s="9" t="str">
        <f aca="false">IF(B4="","",ROW()-2)</f>
        <v/>
      </c>
      <c r="B4" s="16"/>
      <c r="C4" s="10"/>
      <c r="D4" s="10"/>
      <c r="E4" s="19" t="s">
        <v>121</v>
      </c>
      <c r="F4" s="10"/>
      <c r="G4" s="10"/>
      <c r="H4" s="20"/>
    </row>
    <row r="5" customFormat="false" ht="15" hidden="false" customHeight="false" outlineLevel="0" collapsed="false">
      <c r="A5" s="9" t="str">
        <f aca="false">IF(B5="","",ROW()-2)</f>
        <v/>
      </c>
      <c r="B5" s="16"/>
      <c r="C5" s="10"/>
      <c r="D5" s="10"/>
      <c r="E5" s="19" t="s">
        <v>121</v>
      </c>
      <c r="F5" s="10"/>
      <c r="G5" s="10"/>
      <c r="H5" s="20"/>
    </row>
    <row r="6" customFormat="false" ht="15" hidden="false" customHeight="false" outlineLevel="0" collapsed="false">
      <c r="A6" s="9" t="str">
        <f aca="false">IF(B6="","",ROW()-2)</f>
        <v/>
      </c>
      <c r="B6" s="16"/>
      <c r="C6" s="10"/>
      <c r="D6" s="10"/>
      <c r="E6" s="19" t="s">
        <v>121</v>
      </c>
      <c r="F6" s="10"/>
      <c r="G6" s="10"/>
      <c r="H6" s="20"/>
    </row>
    <row r="7" customFormat="false" ht="15" hidden="false" customHeight="false" outlineLevel="0" collapsed="false">
      <c r="A7" s="9" t="str">
        <f aca="false">IF(B7="","",ROW()-2)</f>
        <v/>
      </c>
      <c r="B7" s="16"/>
      <c r="C7" s="10"/>
      <c r="D7" s="10"/>
      <c r="E7" s="19" t="s">
        <v>121</v>
      </c>
      <c r="F7" s="10"/>
      <c r="G7" s="10"/>
      <c r="H7" s="20"/>
    </row>
    <row r="8" customFormat="false" ht="15" hidden="false" customHeight="false" outlineLevel="0" collapsed="false">
      <c r="A8" s="9" t="str">
        <f aca="false">IF(B8="","",ROW()-2)</f>
        <v/>
      </c>
      <c r="B8" s="16"/>
      <c r="C8" s="10"/>
      <c r="D8" s="10"/>
      <c r="E8" s="19" t="s">
        <v>121</v>
      </c>
      <c r="F8" s="10"/>
      <c r="G8" s="10"/>
      <c r="H8" s="20"/>
    </row>
    <row r="9" customFormat="false" ht="15" hidden="false" customHeight="false" outlineLevel="0" collapsed="false">
      <c r="A9" s="9" t="str">
        <f aca="false">IF(B9="","",ROW()-2)</f>
        <v/>
      </c>
      <c r="B9" s="16"/>
      <c r="C9" s="10"/>
      <c r="D9" s="10"/>
      <c r="E9" s="19" t="s">
        <v>121</v>
      </c>
      <c r="F9" s="10"/>
      <c r="G9" s="10"/>
      <c r="H9" s="20"/>
    </row>
    <row r="10" customFormat="false" ht="15" hidden="false" customHeight="false" outlineLevel="0" collapsed="false">
      <c r="A10" s="9" t="str">
        <f aca="false">IF(B10="","",ROW()-2)</f>
        <v/>
      </c>
      <c r="B10" s="16"/>
      <c r="C10" s="10"/>
      <c r="D10" s="10"/>
      <c r="E10" s="19" t="s">
        <v>121</v>
      </c>
      <c r="F10" s="10"/>
      <c r="G10" s="10"/>
      <c r="H10" s="20"/>
    </row>
    <row r="11" customFormat="false" ht="15" hidden="false" customHeight="false" outlineLevel="0" collapsed="false">
      <c r="A11" s="9" t="str">
        <f aca="false">IF(B11="","",ROW()-2)</f>
        <v/>
      </c>
      <c r="B11" s="16"/>
      <c r="C11" s="10"/>
      <c r="D11" s="10"/>
      <c r="E11" s="19" t="s">
        <v>121</v>
      </c>
      <c r="F11" s="10"/>
      <c r="G11" s="10"/>
      <c r="H11" s="20"/>
    </row>
    <row r="12" customFormat="false" ht="15" hidden="false" customHeight="false" outlineLevel="0" collapsed="false">
      <c r="A12" s="9" t="str">
        <f aca="false">IF(B12="","",ROW()-2)</f>
        <v/>
      </c>
      <c r="B12" s="16"/>
      <c r="C12" s="10"/>
      <c r="D12" s="10"/>
      <c r="E12" s="19" t="s">
        <v>121</v>
      </c>
      <c r="F12" s="10"/>
      <c r="G12" s="10"/>
      <c r="H12" s="20"/>
    </row>
    <row r="13" customFormat="false" ht="15" hidden="false" customHeight="false" outlineLevel="0" collapsed="false">
      <c r="A13" s="9" t="str">
        <f aca="false">IF(B13="","",ROW()-2)</f>
        <v/>
      </c>
      <c r="B13" s="16"/>
      <c r="C13" s="10"/>
      <c r="D13" s="10"/>
      <c r="E13" s="19" t="s">
        <v>121</v>
      </c>
      <c r="F13" s="10"/>
      <c r="G13" s="10"/>
      <c r="H13" s="20"/>
    </row>
    <row r="14" customFormat="false" ht="15" hidden="false" customHeight="false" outlineLevel="0" collapsed="false">
      <c r="A14" s="9" t="str">
        <f aca="false">IF(B14="","",ROW()-2)</f>
        <v/>
      </c>
      <c r="B14" s="16"/>
      <c r="C14" s="10"/>
      <c r="D14" s="10"/>
      <c r="E14" s="19" t="s">
        <v>121</v>
      </c>
      <c r="F14" s="10"/>
      <c r="G14" s="10"/>
      <c r="H14" s="20"/>
    </row>
    <row r="15" customFormat="false" ht="15" hidden="false" customHeight="false" outlineLevel="0" collapsed="false">
      <c r="A15" s="9" t="str">
        <f aca="false">IF(B15="","",ROW()-2)</f>
        <v/>
      </c>
      <c r="B15" s="16"/>
      <c r="C15" s="10"/>
      <c r="D15" s="10"/>
      <c r="E15" s="19" t="s">
        <v>121</v>
      </c>
      <c r="F15" s="10"/>
      <c r="G15" s="10"/>
      <c r="H15" s="20"/>
    </row>
    <row r="16" customFormat="false" ht="15" hidden="false" customHeight="false" outlineLevel="0" collapsed="false">
      <c r="A16" s="9" t="str">
        <f aca="false">IF(B16="","",ROW()-2)</f>
        <v/>
      </c>
      <c r="B16" s="16"/>
      <c r="C16" s="10"/>
      <c r="D16" s="10"/>
      <c r="E16" s="19" t="s">
        <v>121</v>
      </c>
      <c r="F16" s="10"/>
      <c r="G16" s="10"/>
      <c r="H16" s="20"/>
    </row>
    <row r="17" customFormat="false" ht="15" hidden="false" customHeight="false" outlineLevel="0" collapsed="false">
      <c r="A17" s="9" t="str">
        <f aca="false">IF(B17="","",ROW()-2)</f>
        <v/>
      </c>
      <c r="B17" s="16"/>
      <c r="C17" s="10"/>
      <c r="D17" s="10"/>
      <c r="E17" s="19" t="s">
        <v>121</v>
      </c>
      <c r="F17" s="10"/>
      <c r="G17" s="10"/>
      <c r="H17" s="20"/>
    </row>
    <row r="18" customFormat="false" ht="15" hidden="false" customHeight="false" outlineLevel="0" collapsed="false">
      <c r="A18" s="9" t="str">
        <f aca="false">IF(B18="","",ROW()-2)</f>
        <v/>
      </c>
      <c r="B18" s="16"/>
      <c r="C18" s="10"/>
      <c r="D18" s="10"/>
      <c r="E18" s="19" t="s">
        <v>121</v>
      </c>
      <c r="F18" s="10"/>
      <c r="G18" s="10"/>
      <c r="H18" s="20"/>
    </row>
    <row r="19" customFormat="false" ht="15" hidden="false" customHeight="false" outlineLevel="0" collapsed="false">
      <c r="A19" s="9" t="str">
        <f aca="false">IF(B19="","",ROW()-2)</f>
        <v/>
      </c>
      <c r="B19" s="16"/>
      <c r="C19" s="10"/>
      <c r="D19" s="10"/>
      <c r="E19" s="19" t="s">
        <v>121</v>
      </c>
      <c r="F19" s="10"/>
      <c r="G19" s="10"/>
      <c r="H19" s="20"/>
    </row>
    <row r="20" customFormat="false" ht="15" hidden="false" customHeight="false" outlineLevel="0" collapsed="false">
      <c r="A20" s="9" t="str">
        <f aca="false">IF(B20="","",ROW()-2)</f>
        <v/>
      </c>
      <c r="B20" s="16"/>
      <c r="C20" s="10"/>
      <c r="D20" s="10"/>
      <c r="E20" s="19" t="s">
        <v>121</v>
      </c>
      <c r="F20" s="10"/>
      <c r="G20" s="10"/>
      <c r="H20" s="20"/>
    </row>
    <row r="21" customFormat="false" ht="15" hidden="false" customHeight="false" outlineLevel="0" collapsed="false">
      <c r="A21" s="9" t="str">
        <f aca="false">IF(B21="","",ROW()-2)</f>
        <v/>
      </c>
      <c r="B21" s="16"/>
      <c r="C21" s="10"/>
      <c r="D21" s="10"/>
      <c r="E21" s="19" t="s">
        <v>121</v>
      </c>
      <c r="F21" s="10"/>
      <c r="G21" s="10"/>
      <c r="H21" s="20"/>
    </row>
    <row r="22" customFormat="false" ht="15" hidden="false" customHeight="false" outlineLevel="0" collapsed="false">
      <c r="A22" s="9" t="str">
        <f aca="false">IF(B22="","",ROW()-2)</f>
        <v/>
      </c>
      <c r="B22" s="16"/>
      <c r="C22" s="10"/>
      <c r="D22" s="10"/>
      <c r="E22" s="19" t="s">
        <v>121</v>
      </c>
      <c r="F22" s="10"/>
      <c r="G22" s="10"/>
      <c r="H22" s="20"/>
    </row>
    <row r="23" customFormat="false" ht="15" hidden="false" customHeight="false" outlineLevel="0" collapsed="false">
      <c r="A23" s="9" t="str">
        <f aca="false">IF(B23="","",ROW()-2)</f>
        <v/>
      </c>
      <c r="B23" s="16"/>
      <c r="C23" s="10"/>
      <c r="D23" s="10"/>
      <c r="E23" s="19" t="s">
        <v>121</v>
      </c>
      <c r="F23" s="10"/>
      <c r="G23" s="10"/>
      <c r="H23" s="20"/>
    </row>
    <row r="24" customFormat="false" ht="15" hidden="false" customHeight="false" outlineLevel="0" collapsed="false">
      <c r="A24" s="9" t="str">
        <f aca="false">IF(B24="","",ROW()-2)</f>
        <v/>
      </c>
      <c r="B24" s="16"/>
      <c r="C24" s="10"/>
      <c r="D24" s="10"/>
      <c r="E24" s="19" t="s">
        <v>121</v>
      </c>
      <c r="F24" s="10"/>
      <c r="G24" s="10"/>
      <c r="H24" s="20"/>
    </row>
    <row r="25" customFormat="false" ht="15" hidden="false" customHeight="false" outlineLevel="0" collapsed="false">
      <c r="A25" s="9" t="str">
        <f aca="false">IF(B25="","",ROW()-2)</f>
        <v/>
      </c>
      <c r="B25" s="16"/>
      <c r="C25" s="10"/>
      <c r="D25" s="10"/>
      <c r="E25" s="19" t="s">
        <v>121</v>
      </c>
      <c r="F25" s="10"/>
      <c r="G25" s="10"/>
      <c r="H25" s="20"/>
    </row>
    <row r="26" customFormat="false" ht="15" hidden="false" customHeight="false" outlineLevel="0" collapsed="false">
      <c r="A26" s="9" t="str">
        <f aca="false">IF(B26="","",ROW()-2)</f>
        <v/>
      </c>
      <c r="B26" s="16"/>
      <c r="C26" s="10"/>
      <c r="D26" s="10"/>
      <c r="E26" s="19" t="s">
        <v>121</v>
      </c>
      <c r="F26" s="10"/>
      <c r="G26" s="10"/>
      <c r="H26" s="20"/>
    </row>
    <row r="27" customFormat="false" ht="15" hidden="false" customHeight="false" outlineLevel="0" collapsed="false">
      <c r="A27" s="9" t="str">
        <f aca="false">IF(B27="","",ROW()-2)</f>
        <v/>
      </c>
      <c r="B27" s="16"/>
      <c r="C27" s="10"/>
      <c r="D27" s="10"/>
      <c r="E27" s="19" t="s">
        <v>121</v>
      </c>
      <c r="F27" s="10"/>
      <c r="G27" s="10"/>
      <c r="H27" s="20"/>
    </row>
    <row r="28" customFormat="false" ht="15" hidden="false" customHeight="false" outlineLevel="0" collapsed="false">
      <c r="A28" s="9" t="str">
        <f aca="false">IF(B28="","",ROW()-2)</f>
        <v/>
      </c>
      <c r="B28" s="16"/>
      <c r="C28" s="10"/>
      <c r="D28" s="10"/>
      <c r="E28" s="19" t="s">
        <v>121</v>
      </c>
      <c r="F28" s="10"/>
      <c r="G28" s="10"/>
      <c r="H28" s="20"/>
    </row>
    <row r="29" customFormat="false" ht="15" hidden="false" customHeight="false" outlineLevel="0" collapsed="false">
      <c r="A29" s="9" t="str">
        <f aca="false">IF(B29="","",ROW()-2)</f>
        <v/>
      </c>
      <c r="B29" s="16"/>
      <c r="C29" s="10"/>
      <c r="D29" s="10"/>
      <c r="E29" s="19" t="s">
        <v>121</v>
      </c>
      <c r="F29" s="10"/>
      <c r="G29" s="10"/>
      <c r="H29" s="20"/>
    </row>
    <row r="30" customFormat="false" ht="15" hidden="false" customHeight="false" outlineLevel="0" collapsed="false">
      <c r="A30" s="9" t="str">
        <f aca="false">IF(B30="","",ROW()-2)</f>
        <v/>
      </c>
      <c r="B30" s="16"/>
      <c r="C30" s="10"/>
      <c r="D30" s="10"/>
      <c r="E30" s="19" t="s">
        <v>121</v>
      </c>
      <c r="F30" s="10"/>
      <c r="G30" s="10"/>
      <c r="H30" s="20"/>
    </row>
    <row r="31" customFormat="false" ht="15" hidden="false" customHeight="false" outlineLevel="0" collapsed="false">
      <c r="A31" s="9" t="str">
        <f aca="false">IF(B31="","",ROW()-2)</f>
        <v/>
      </c>
      <c r="B31" s="16"/>
      <c r="C31" s="10"/>
      <c r="D31" s="10"/>
      <c r="E31" s="19" t="s">
        <v>121</v>
      </c>
      <c r="F31" s="10"/>
      <c r="G31" s="10"/>
      <c r="H31" s="20"/>
    </row>
    <row r="32" customFormat="false" ht="15" hidden="false" customHeight="false" outlineLevel="0" collapsed="false">
      <c r="A32" s="9" t="str">
        <f aca="false">IF(B32="","",ROW()-2)</f>
        <v/>
      </c>
      <c r="B32" s="16"/>
      <c r="C32" s="10"/>
      <c r="D32" s="10"/>
      <c r="E32" s="19" t="s">
        <v>121</v>
      </c>
      <c r="F32" s="10"/>
      <c r="G32" s="10"/>
      <c r="H32" s="20"/>
    </row>
    <row r="33" customFormat="false" ht="15" hidden="false" customHeight="false" outlineLevel="0" collapsed="false">
      <c r="A33" s="9" t="str">
        <f aca="false">IF(B33="","",ROW()-2)</f>
        <v/>
      </c>
      <c r="B33" s="16"/>
      <c r="C33" s="10"/>
      <c r="D33" s="10"/>
      <c r="E33" s="19" t="s">
        <v>121</v>
      </c>
      <c r="F33" s="10"/>
      <c r="G33" s="10"/>
      <c r="H33" s="20"/>
    </row>
    <row r="34" customFormat="false" ht="15" hidden="false" customHeight="false" outlineLevel="0" collapsed="false">
      <c r="A34" s="9" t="str">
        <f aca="false">IF(B34="","",ROW()-2)</f>
        <v/>
      </c>
      <c r="B34" s="16"/>
      <c r="C34" s="10"/>
      <c r="D34" s="10"/>
      <c r="E34" s="19" t="s">
        <v>121</v>
      </c>
      <c r="F34" s="10"/>
      <c r="G34" s="10"/>
      <c r="H34" s="20"/>
    </row>
    <row r="35" customFormat="false" ht="15" hidden="false" customHeight="false" outlineLevel="0" collapsed="false">
      <c r="A35" s="9" t="str">
        <f aca="false">IF(B35="","",ROW()-2)</f>
        <v/>
      </c>
      <c r="B35" s="16"/>
      <c r="C35" s="10"/>
      <c r="D35" s="10"/>
      <c r="E35" s="19" t="s">
        <v>121</v>
      </c>
      <c r="F35" s="10"/>
      <c r="G35" s="10"/>
      <c r="H35" s="20"/>
    </row>
    <row r="36" customFormat="false" ht="15" hidden="false" customHeight="false" outlineLevel="0" collapsed="false">
      <c r="A36" s="9" t="str">
        <f aca="false">IF(B36="","",ROW()-2)</f>
        <v/>
      </c>
      <c r="B36" s="16"/>
      <c r="C36" s="10"/>
      <c r="D36" s="10"/>
      <c r="E36" s="19" t="s">
        <v>121</v>
      </c>
      <c r="F36" s="10"/>
      <c r="G36" s="10"/>
      <c r="H36" s="20"/>
    </row>
    <row r="37" customFormat="false" ht="15" hidden="false" customHeight="false" outlineLevel="0" collapsed="false">
      <c r="A37" s="9" t="str">
        <f aca="false">IF(B37="","",ROW()-2)</f>
        <v/>
      </c>
      <c r="B37" s="16"/>
      <c r="C37" s="10"/>
      <c r="D37" s="10"/>
      <c r="E37" s="19" t="s">
        <v>121</v>
      </c>
      <c r="F37" s="10"/>
      <c r="G37" s="10"/>
      <c r="H37" s="20"/>
    </row>
    <row r="38" customFormat="false" ht="15" hidden="false" customHeight="false" outlineLevel="0" collapsed="false">
      <c r="A38" s="9" t="str">
        <f aca="false">IF(B38="","",ROW()-2)</f>
        <v/>
      </c>
      <c r="B38" s="16"/>
      <c r="C38" s="10"/>
      <c r="D38" s="10"/>
      <c r="E38" s="19" t="s">
        <v>121</v>
      </c>
      <c r="F38" s="10"/>
      <c r="G38" s="10"/>
      <c r="H38" s="20"/>
    </row>
    <row r="39" customFormat="false" ht="15" hidden="false" customHeight="false" outlineLevel="0" collapsed="false">
      <c r="A39" s="9" t="str">
        <f aca="false">IF(B39="","",ROW()-2)</f>
        <v/>
      </c>
      <c r="B39" s="16"/>
      <c r="C39" s="10"/>
      <c r="D39" s="10"/>
      <c r="E39" s="19" t="s">
        <v>121</v>
      </c>
      <c r="F39" s="10"/>
      <c r="G39" s="10"/>
      <c r="H39" s="20"/>
    </row>
    <row r="40" customFormat="false" ht="15" hidden="false" customHeight="false" outlineLevel="0" collapsed="false">
      <c r="A40" s="9" t="str">
        <f aca="false">IF(B40="","",ROW()-2)</f>
        <v/>
      </c>
      <c r="B40" s="16"/>
      <c r="C40" s="10"/>
      <c r="D40" s="10"/>
      <c r="E40" s="19" t="s">
        <v>121</v>
      </c>
      <c r="F40" s="10"/>
      <c r="G40" s="10"/>
      <c r="H40" s="20"/>
    </row>
    <row r="41" customFormat="false" ht="15" hidden="false" customHeight="false" outlineLevel="0" collapsed="false">
      <c r="A41" s="9" t="str">
        <f aca="false">IF(B41="","",ROW()-2)</f>
        <v/>
      </c>
      <c r="B41" s="16"/>
      <c r="C41" s="10"/>
      <c r="D41" s="10"/>
      <c r="E41" s="19" t="s">
        <v>121</v>
      </c>
      <c r="F41" s="10"/>
      <c r="G41" s="10"/>
      <c r="H41" s="20"/>
    </row>
    <row r="42" customFormat="false" ht="15" hidden="false" customHeight="false" outlineLevel="0" collapsed="false">
      <c r="A42" s="9" t="str">
        <f aca="false">IF(B42="","",ROW()-2)</f>
        <v/>
      </c>
      <c r="B42" s="16"/>
      <c r="C42" s="10"/>
      <c r="D42" s="10"/>
      <c r="E42" s="19" t="s">
        <v>121</v>
      </c>
      <c r="F42" s="10"/>
      <c r="G42" s="10"/>
      <c r="H42" s="20"/>
    </row>
    <row r="43" customFormat="false" ht="15" hidden="false" customHeight="false" outlineLevel="0" collapsed="false">
      <c r="A43" s="9" t="str">
        <f aca="false">IF(B43="","",ROW()-2)</f>
        <v/>
      </c>
      <c r="B43" s="16"/>
      <c r="C43" s="10"/>
      <c r="D43" s="10"/>
      <c r="E43" s="19" t="s">
        <v>121</v>
      </c>
      <c r="F43" s="10"/>
      <c r="G43" s="10"/>
      <c r="H43" s="20"/>
    </row>
    <row r="44" customFormat="false" ht="15" hidden="false" customHeight="false" outlineLevel="0" collapsed="false">
      <c r="A44" s="9" t="str">
        <f aca="false">IF(B44="","",ROW()-2)</f>
        <v/>
      </c>
      <c r="B44" s="16"/>
      <c r="C44" s="10"/>
      <c r="D44" s="10"/>
      <c r="E44" s="19" t="s">
        <v>121</v>
      </c>
      <c r="F44" s="10"/>
      <c r="G44" s="10"/>
      <c r="H44" s="20"/>
    </row>
    <row r="45" customFormat="false" ht="15" hidden="false" customHeight="false" outlineLevel="0" collapsed="false">
      <c r="A45" s="9" t="str">
        <f aca="false">IF(B45="","",ROW()-2)</f>
        <v/>
      </c>
      <c r="B45" s="16"/>
      <c r="C45" s="10"/>
      <c r="D45" s="10"/>
      <c r="E45" s="19" t="s">
        <v>121</v>
      </c>
      <c r="F45" s="10"/>
      <c r="G45" s="10"/>
      <c r="H45" s="20"/>
    </row>
    <row r="46" customFormat="false" ht="15" hidden="false" customHeight="false" outlineLevel="0" collapsed="false">
      <c r="A46" s="9" t="str">
        <f aca="false">IF(B46="","",ROW()-2)</f>
        <v/>
      </c>
      <c r="B46" s="16"/>
      <c r="C46" s="10"/>
      <c r="D46" s="10"/>
      <c r="E46" s="19" t="s">
        <v>121</v>
      </c>
      <c r="F46" s="10"/>
      <c r="G46" s="10"/>
      <c r="H46" s="20"/>
    </row>
    <row r="47" customFormat="false" ht="15" hidden="false" customHeight="false" outlineLevel="0" collapsed="false">
      <c r="A47" s="9" t="str">
        <f aca="false">IF(B47="","",ROW()-2)</f>
        <v/>
      </c>
      <c r="B47" s="16"/>
      <c r="C47" s="10"/>
      <c r="D47" s="10"/>
      <c r="E47" s="19" t="s">
        <v>121</v>
      </c>
      <c r="F47" s="10"/>
      <c r="G47" s="10"/>
      <c r="H47" s="20"/>
    </row>
    <row r="48" customFormat="false" ht="15" hidden="false" customHeight="false" outlineLevel="0" collapsed="false">
      <c r="A48" s="9" t="str">
        <f aca="false">IF(B48="","",ROW()-2)</f>
        <v/>
      </c>
      <c r="B48" s="16"/>
      <c r="C48" s="10"/>
      <c r="D48" s="10"/>
      <c r="E48" s="19" t="s">
        <v>121</v>
      </c>
      <c r="F48" s="10"/>
      <c r="G48" s="10"/>
      <c r="H48" s="20"/>
    </row>
    <row r="49" customFormat="false" ht="15" hidden="false" customHeight="false" outlineLevel="0" collapsed="false">
      <c r="A49" s="9" t="str">
        <f aca="false">IF(B49="","",ROW()-2)</f>
        <v/>
      </c>
      <c r="B49" s="16"/>
      <c r="C49" s="10"/>
      <c r="D49" s="10"/>
      <c r="E49" s="19" t="s">
        <v>121</v>
      </c>
      <c r="F49" s="10"/>
      <c r="G49" s="10"/>
      <c r="H49" s="20"/>
    </row>
    <row r="50" customFormat="false" ht="15" hidden="false" customHeight="false" outlineLevel="0" collapsed="false">
      <c r="A50" s="9" t="str">
        <f aca="false">IF(B50="","",ROW()-2)</f>
        <v/>
      </c>
      <c r="B50" s="16"/>
      <c r="C50" s="10"/>
      <c r="D50" s="10"/>
      <c r="E50" s="19" t="s">
        <v>121</v>
      </c>
      <c r="F50" s="10"/>
      <c r="G50" s="10"/>
      <c r="H50" s="20"/>
    </row>
    <row r="51" customFormat="false" ht="15" hidden="false" customHeight="false" outlineLevel="0" collapsed="false">
      <c r="A51" s="9" t="str">
        <f aca="false">IF(B51="","",ROW()-2)</f>
        <v/>
      </c>
      <c r="B51" s="16"/>
      <c r="C51" s="10"/>
      <c r="D51" s="10"/>
      <c r="E51" s="19" t="s">
        <v>121</v>
      </c>
      <c r="F51" s="10"/>
      <c r="G51" s="10"/>
      <c r="H51" s="20"/>
    </row>
    <row r="52" customFormat="false" ht="15" hidden="false" customHeight="false" outlineLevel="0" collapsed="false">
      <c r="A52" s="9" t="str">
        <f aca="false">IF(B52="","",ROW()-2)</f>
        <v/>
      </c>
      <c r="B52" s="16"/>
      <c r="C52" s="10"/>
      <c r="D52" s="10"/>
      <c r="E52" s="19" t="s">
        <v>121</v>
      </c>
      <c r="F52" s="10"/>
      <c r="G52" s="10"/>
      <c r="H52" s="20"/>
    </row>
    <row r="53" customFormat="false" ht="15" hidden="false" customHeight="false" outlineLevel="0" collapsed="false">
      <c r="A53" s="9" t="str">
        <f aca="false">IF(B53="","",ROW()-2)</f>
        <v/>
      </c>
      <c r="B53" s="16"/>
      <c r="C53" s="10"/>
      <c r="D53" s="10"/>
      <c r="E53" s="19" t="s">
        <v>121</v>
      </c>
      <c r="F53" s="10"/>
      <c r="G53" s="10"/>
      <c r="H53" s="20"/>
    </row>
    <row r="54" customFormat="false" ht="15" hidden="false" customHeight="false" outlineLevel="0" collapsed="false">
      <c r="A54" s="9" t="str">
        <f aca="false">IF(B54="","",ROW()-2)</f>
        <v/>
      </c>
      <c r="B54" s="16"/>
      <c r="C54" s="10"/>
      <c r="D54" s="10"/>
      <c r="E54" s="19" t="s">
        <v>121</v>
      </c>
      <c r="F54" s="10"/>
      <c r="G54" s="10"/>
      <c r="H54" s="20"/>
    </row>
    <row r="55" customFormat="false" ht="15" hidden="false" customHeight="false" outlineLevel="0" collapsed="false">
      <c r="A55" s="9" t="str">
        <f aca="false">IF(B55="","",ROW()-2)</f>
        <v/>
      </c>
      <c r="B55" s="16"/>
      <c r="C55" s="10"/>
      <c r="D55" s="10"/>
      <c r="E55" s="19" t="s">
        <v>121</v>
      </c>
      <c r="F55" s="10"/>
      <c r="G55" s="10"/>
      <c r="H55" s="20"/>
    </row>
    <row r="56" customFormat="false" ht="15" hidden="false" customHeight="false" outlineLevel="0" collapsed="false">
      <c r="A56" s="9" t="str">
        <f aca="false">IF(B56="","",ROW()-2)</f>
        <v/>
      </c>
      <c r="B56" s="16"/>
      <c r="C56" s="10"/>
      <c r="D56" s="10"/>
      <c r="E56" s="19" t="s">
        <v>121</v>
      </c>
      <c r="F56" s="10"/>
      <c r="G56" s="10"/>
      <c r="H56" s="20"/>
    </row>
    <row r="57" customFormat="false" ht="15" hidden="false" customHeight="false" outlineLevel="0" collapsed="false">
      <c r="A57" s="9" t="str">
        <f aca="false">IF(B57="","",ROW()-2)</f>
        <v/>
      </c>
      <c r="B57" s="16"/>
      <c r="C57" s="10"/>
      <c r="D57" s="10"/>
      <c r="E57" s="19" t="s">
        <v>121</v>
      </c>
      <c r="F57" s="10"/>
      <c r="G57" s="10"/>
      <c r="H57" s="20"/>
    </row>
    <row r="58" customFormat="false" ht="15" hidden="false" customHeight="false" outlineLevel="0" collapsed="false">
      <c r="A58" s="9" t="str">
        <f aca="false">IF(B58="","",ROW()-2)</f>
        <v/>
      </c>
      <c r="B58" s="16"/>
      <c r="C58" s="10"/>
      <c r="D58" s="10"/>
      <c r="E58" s="19" t="s">
        <v>121</v>
      </c>
      <c r="F58" s="10"/>
      <c r="G58" s="10"/>
      <c r="H58" s="20"/>
    </row>
    <row r="59" customFormat="false" ht="15" hidden="false" customHeight="false" outlineLevel="0" collapsed="false">
      <c r="A59" s="9" t="str">
        <f aca="false">IF(B59="","",ROW()-2)</f>
        <v/>
      </c>
      <c r="B59" s="16"/>
      <c r="C59" s="10"/>
      <c r="D59" s="10"/>
      <c r="E59" s="19" t="s">
        <v>121</v>
      </c>
      <c r="F59" s="10"/>
      <c r="G59" s="10"/>
      <c r="H59" s="20"/>
    </row>
    <row r="60" customFormat="false" ht="15" hidden="false" customHeight="false" outlineLevel="0" collapsed="false">
      <c r="A60" s="9" t="str">
        <f aca="false">IF(B60="","",ROW()-2)</f>
        <v/>
      </c>
      <c r="B60" s="16"/>
      <c r="C60" s="10"/>
      <c r="D60" s="10"/>
      <c r="E60" s="19" t="s">
        <v>121</v>
      </c>
      <c r="F60" s="10"/>
      <c r="G60" s="10"/>
      <c r="H60" s="20"/>
    </row>
    <row r="61" customFormat="false" ht="15" hidden="false" customHeight="false" outlineLevel="0" collapsed="false">
      <c r="A61" s="9" t="str">
        <f aca="false">IF(B61="","",ROW()-2)</f>
        <v/>
      </c>
      <c r="B61" s="16"/>
      <c r="C61" s="10"/>
      <c r="D61" s="10"/>
      <c r="E61" s="19" t="s">
        <v>121</v>
      </c>
      <c r="F61" s="10"/>
      <c r="G61" s="10"/>
      <c r="H61" s="20"/>
    </row>
    <row r="62" customFormat="false" ht="15" hidden="false" customHeight="false" outlineLevel="0" collapsed="false">
      <c r="A62" s="9" t="str">
        <f aca="false">IF(B62="","",ROW()-2)</f>
        <v/>
      </c>
      <c r="B62" s="16"/>
      <c r="C62" s="10"/>
      <c r="D62" s="10"/>
      <c r="E62" s="19" t="s">
        <v>121</v>
      </c>
      <c r="F62" s="10"/>
      <c r="G62" s="10"/>
      <c r="H62" s="20"/>
    </row>
    <row r="63" customFormat="false" ht="15" hidden="false" customHeight="false" outlineLevel="0" collapsed="false">
      <c r="A63" s="9" t="str">
        <f aca="false">IF(B63="","",ROW()-2)</f>
        <v/>
      </c>
      <c r="B63" s="16"/>
      <c r="C63" s="10"/>
      <c r="D63" s="10"/>
      <c r="E63" s="19" t="s">
        <v>121</v>
      </c>
      <c r="F63" s="10"/>
      <c r="G63" s="10"/>
      <c r="H63" s="20"/>
    </row>
    <row r="64" customFormat="false" ht="15" hidden="false" customHeight="false" outlineLevel="0" collapsed="false">
      <c r="A64" s="9" t="str">
        <f aca="false">IF(B64="","",ROW()-2)</f>
        <v/>
      </c>
      <c r="B64" s="16"/>
      <c r="C64" s="10"/>
      <c r="D64" s="10"/>
      <c r="E64" s="19" t="s">
        <v>121</v>
      </c>
      <c r="F64" s="10"/>
      <c r="G64" s="10"/>
      <c r="H64" s="20"/>
    </row>
    <row r="65" customFormat="false" ht="15" hidden="false" customHeight="false" outlineLevel="0" collapsed="false">
      <c r="A65" s="9" t="str">
        <f aca="false">IF(B65="","",ROW()-2)</f>
        <v/>
      </c>
      <c r="B65" s="16"/>
      <c r="C65" s="10"/>
      <c r="D65" s="10"/>
      <c r="E65" s="19" t="s">
        <v>121</v>
      </c>
      <c r="F65" s="10"/>
      <c r="G65" s="10"/>
      <c r="H65" s="20"/>
    </row>
    <row r="66" customFormat="false" ht="15" hidden="false" customHeight="false" outlineLevel="0" collapsed="false">
      <c r="A66" s="9" t="str">
        <f aca="false">IF(B66="","",ROW()-2)</f>
        <v/>
      </c>
      <c r="B66" s="16"/>
      <c r="C66" s="10"/>
      <c r="D66" s="10"/>
      <c r="E66" s="19" t="s">
        <v>121</v>
      </c>
      <c r="F66" s="10"/>
      <c r="G66" s="10"/>
      <c r="H66" s="20"/>
    </row>
    <row r="67" customFormat="false" ht="15" hidden="false" customHeight="false" outlineLevel="0" collapsed="false">
      <c r="A67" s="9" t="str">
        <f aca="false">IF(B67="","",ROW()-2)</f>
        <v/>
      </c>
      <c r="B67" s="16"/>
      <c r="C67" s="10"/>
      <c r="D67" s="10"/>
      <c r="E67" s="19" t="s">
        <v>121</v>
      </c>
      <c r="F67" s="10"/>
      <c r="G67" s="10"/>
      <c r="H67" s="20"/>
    </row>
    <row r="68" customFormat="false" ht="15" hidden="false" customHeight="false" outlineLevel="0" collapsed="false">
      <c r="A68" s="9" t="str">
        <f aca="false">IF(B68="","",ROW()-2)</f>
        <v/>
      </c>
      <c r="B68" s="16"/>
      <c r="C68" s="10"/>
      <c r="D68" s="10"/>
      <c r="E68" s="19" t="s">
        <v>121</v>
      </c>
      <c r="F68" s="10"/>
      <c r="G68" s="10"/>
      <c r="H68" s="20"/>
    </row>
    <row r="69" customFormat="false" ht="15" hidden="false" customHeight="false" outlineLevel="0" collapsed="false">
      <c r="A69" s="9" t="str">
        <f aca="false">IF(B69="","",ROW()-2)</f>
        <v/>
      </c>
      <c r="B69" s="16"/>
      <c r="C69" s="10"/>
      <c r="D69" s="10"/>
      <c r="E69" s="19" t="s">
        <v>121</v>
      </c>
      <c r="F69" s="10"/>
      <c r="G69" s="10"/>
      <c r="H69" s="20"/>
    </row>
    <row r="70" customFormat="false" ht="15" hidden="false" customHeight="false" outlineLevel="0" collapsed="false">
      <c r="A70" s="9" t="str">
        <f aca="false">IF(B70="","",ROW()-2)</f>
        <v/>
      </c>
      <c r="B70" s="16"/>
      <c r="C70" s="10"/>
      <c r="D70" s="10"/>
      <c r="E70" s="19" t="s">
        <v>121</v>
      </c>
      <c r="F70" s="10"/>
      <c r="G70" s="10"/>
      <c r="H70" s="20"/>
    </row>
    <row r="71" customFormat="false" ht="15" hidden="false" customHeight="false" outlineLevel="0" collapsed="false">
      <c r="A71" s="9" t="str">
        <f aca="false">IF(B71="","",ROW()-2)</f>
        <v/>
      </c>
      <c r="B71" s="16"/>
      <c r="C71" s="10"/>
      <c r="D71" s="10"/>
      <c r="E71" s="19" t="s">
        <v>121</v>
      </c>
      <c r="F71" s="10"/>
      <c r="G71" s="10"/>
      <c r="H71" s="20"/>
    </row>
    <row r="72" customFormat="false" ht="15" hidden="false" customHeight="false" outlineLevel="0" collapsed="false">
      <c r="A72" s="9" t="str">
        <f aca="false">IF(B72="","",ROW()-2)</f>
        <v/>
      </c>
      <c r="B72" s="16"/>
      <c r="C72" s="10"/>
      <c r="D72" s="10"/>
      <c r="E72" s="19" t="s">
        <v>121</v>
      </c>
      <c r="F72" s="10"/>
      <c r="G72" s="10"/>
      <c r="H72" s="20"/>
    </row>
    <row r="73" customFormat="false" ht="15" hidden="false" customHeight="false" outlineLevel="0" collapsed="false">
      <c r="A73" s="9" t="str">
        <f aca="false">IF(B73="","",ROW()-2)</f>
        <v/>
      </c>
      <c r="B73" s="16"/>
      <c r="C73" s="10"/>
      <c r="D73" s="10"/>
      <c r="E73" s="19" t="s">
        <v>121</v>
      </c>
      <c r="F73" s="10"/>
      <c r="G73" s="10"/>
      <c r="H73" s="20"/>
    </row>
    <row r="74" customFormat="false" ht="15" hidden="false" customHeight="false" outlineLevel="0" collapsed="false">
      <c r="A74" s="9" t="str">
        <f aca="false">IF(B74="","",ROW()-2)</f>
        <v/>
      </c>
      <c r="B74" s="16"/>
      <c r="C74" s="10"/>
      <c r="D74" s="10"/>
      <c r="E74" s="19" t="s">
        <v>121</v>
      </c>
      <c r="F74" s="10"/>
      <c r="G74" s="10"/>
      <c r="H74" s="20"/>
    </row>
    <row r="75" customFormat="false" ht="15" hidden="false" customHeight="false" outlineLevel="0" collapsed="false">
      <c r="A75" s="9" t="str">
        <f aca="false">IF(B75="","",ROW()-2)</f>
        <v/>
      </c>
      <c r="B75" s="16"/>
      <c r="C75" s="10"/>
      <c r="D75" s="10"/>
      <c r="E75" s="19" t="s">
        <v>121</v>
      </c>
      <c r="F75" s="10"/>
      <c r="G75" s="10"/>
      <c r="H75" s="20"/>
    </row>
    <row r="76" customFormat="false" ht="15" hidden="false" customHeight="false" outlineLevel="0" collapsed="false">
      <c r="A76" s="9" t="str">
        <f aca="false">IF(B76="","",ROW()-2)</f>
        <v/>
      </c>
      <c r="B76" s="16"/>
      <c r="C76" s="10"/>
      <c r="D76" s="10"/>
      <c r="E76" s="19" t="s">
        <v>121</v>
      </c>
      <c r="F76" s="10"/>
      <c r="G76" s="10"/>
      <c r="H76" s="20"/>
    </row>
    <row r="77" customFormat="false" ht="15" hidden="false" customHeight="false" outlineLevel="0" collapsed="false">
      <c r="A77" s="9" t="str">
        <f aca="false">IF(B77="","",ROW()-2)</f>
        <v/>
      </c>
      <c r="B77" s="16"/>
      <c r="C77" s="10"/>
      <c r="D77" s="10"/>
      <c r="E77" s="19" t="s">
        <v>121</v>
      </c>
      <c r="F77" s="10"/>
      <c r="G77" s="10"/>
      <c r="H77" s="20"/>
    </row>
    <row r="78" customFormat="false" ht="15" hidden="false" customHeight="false" outlineLevel="0" collapsed="false">
      <c r="A78" s="9" t="str">
        <f aca="false">IF(B78="","",ROW()-2)</f>
        <v/>
      </c>
      <c r="B78" s="16"/>
      <c r="C78" s="10"/>
      <c r="D78" s="10"/>
      <c r="E78" s="19" t="s">
        <v>121</v>
      </c>
      <c r="F78" s="10"/>
      <c r="G78" s="10"/>
      <c r="H78" s="20"/>
    </row>
    <row r="79" customFormat="false" ht="15" hidden="false" customHeight="false" outlineLevel="0" collapsed="false">
      <c r="A79" s="9" t="str">
        <f aca="false">IF(B79="","",ROW()-2)</f>
        <v/>
      </c>
      <c r="B79" s="16"/>
      <c r="C79" s="10"/>
      <c r="D79" s="10"/>
      <c r="E79" s="19" t="s">
        <v>121</v>
      </c>
      <c r="F79" s="10"/>
      <c r="G79" s="10"/>
      <c r="H79" s="20"/>
    </row>
    <row r="80" customFormat="false" ht="15" hidden="false" customHeight="false" outlineLevel="0" collapsed="false">
      <c r="A80" s="9" t="str">
        <f aca="false">IF(B80="","",ROW()-2)</f>
        <v/>
      </c>
      <c r="B80" s="16"/>
      <c r="C80" s="10"/>
      <c r="D80" s="10"/>
      <c r="E80" s="19" t="s">
        <v>121</v>
      </c>
      <c r="F80" s="10"/>
      <c r="G80" s="10"/>
      <c r="H80" s="20"/>
    </row>
    <row r="81" customFormat="false" ht="15" hidden="false" customHeight="false" outlineLevel="0" collapsed="false">
      <c r="A81" s="9" t="str">
        <f aca="false">IF(B81="","",ROW()-2)</f>
        <v/>
      </c>
      <c r="B81" s="16"/>
      <c r="C81" s="10"/>
      <c r="D81" s="10"/>
      <c r="E81" s="19" t="s">
        <v>121</v>
      </c>
      <c r="F81" s="10"/>
      <c r="G81" s="10"/>
      <c r="H81" s="20"/>
    </row>
    <row r="82" customFormat="false" ht="15" hidden="false" customHeight="false" outlineLevel="0" collapsed="false">
      <c r="A82" s="9" t="str">
        <f aca="false">IF(B82="","",ROW()-2)</f>
        <v/>
      </c>
      <c r="B82" s="16"/>
      <c r="C82" s="10"/>
      <c r="D82" s="10"/>
      <c r="E82" s="19" t="s">
        <v>121</v>
      </c>
      <c r="F82" s="10"/>
      <c r="G82" s="10"/>
      <c r="H82" s="20"/>
    </row>
    <row r="83" customFormat="false" ht="15" hidden="false" customHeight="false" outlineLevel="0" collapsed="false">
      <c r="A83" s="9" t="str">
        <f aca="false">IF(B83="","",ROW()-2)</f>
        <v/>
      </c>
      <c r="B83" s="16"/>
      <c r="C83" s="10"/>
      <c r="D83" s="10"/>
      <c r="E83" s="19" t="s">
        <v>121</v>
      </c>
      <c r="F83" s="10"/>
      <c r="G83" s="10"/>
      <c r="H83" s="20"/>
    </row>
    <row r="84" customFormat="false" ht="15" hidden="false" customHeight="false" outlineLevel="0" collapsed="false">
      <c r="A84" s="9" t="str">
        <f aca="false">IF(B84="","",ROW()-2)</f>
        <v/>
      </c>
      <c r="B84" s="16"/>
      <c r="C84" s="10"/>
      <c r="D84" s="10"/>
      <c r="E84" s="19" t="s">
        <v>121</v>
      </c>
      <c r="F84" s="10"/>
      <c r="G84" s="10"/>
      <c r="H84" s="20"/>
    </row>
    <row r="85" customFormat="false" ht="15" hidden="false" customHeight="false" outlineLevel="0" collapsed="false">
      <c r="A85" s="9" t="str">
        <f aca="false">IF(B85="","",ROW()-2)</f>
        <v/>
      </c>
      <c r="B85" s="16"/>
      <c r="C85" s="10"/>
      <c r="D85" s="10"/>
      <c r="E85" s="19" t="s">
        <v>121</v>
      </c>
      <c r="F85" s="10"/>
      <c r="G85" s="10"/>
      <c r="H85" s="20"/>
    </row>
    <row r="86" customFormat="false" ht="15" hidden="false" customHeight="false" outlineLevel="0" collapsed="false">
      <c r="A86" s="9" t="str">
        <f aca="false">IF(B86="","",ROW()-2)</f>
        <v/>
      </c>
      <c r="B86" s="16"/>
      <c r="C86" s="10"/>
      <c r="D86" s="10"/>
      <c r="E86" s="19" t="s">
        <v>121</v>
      </c>
      <c r="F86" s="10"/>
      <c r="G86" s="10"/>
      <c r="H86" s="20"/>
    </row>
    <row r="87" customFormat="false" ht="15" hidden="false" customHeight="false" outlineLevel="0" collapsed="false">
      <c r="A87" s="9" t="str">
        <f aca="false">IF(B87="","",ROW()-2)</f>
        <v/>
      </c>
      <c r="B87" s="16"/>
      <c r="C87" s="10"/>
      <c r="D87" s="10"/>
      <c r="E87" s="19" t="s">
        <v>121</v>
      </c>
      <c r="F87" s="10"/>
      <c r="G87" s="10"/>
      <c r="H87" s="20"/>
    </row>
    <row r="88" customFormat="false" ht="15" hidden="false" customHeight="false" outlineLevel="0" collapsed="false">
      <c r="A88" s="9" t="str">
        <f aca="false">IF(B88="","",ROW()-2)</f>
        <v/>
      </c>
      <c r="B88" s="16"/>
      <c r="C88" s="10"/>
      <c r="D88" s="10"/>
      <c r="E88" s="19" t="s">
        <v>121</v>
      </c>
      <c r="F88" s="10"/>
      <c r="G88" s="10"/>
      <c r="H88" s="20"/>
    </row>
    <row r="89" customFormat="false" ht="15" hidden="false" customHeight="false" outlineLevel="0" collapsed="false">
      <c r="A89" s="9" t="str">
        <f aca="false">IF(B89="","",ROW()-2)</f>
        <v/>
      </c>
      <c r="B89" s="16"/>
      <c r="C89" s="10"/>
      <c r="D89" s="10"/>
      <c r="E89" s="19" t="s">
        <v>121</v>
      </c>
      <c r="F89" s="10"/>
      <c r="G89" s="10"/>
      <c r="H89" s="20"/>
    </row>
    <row r="90" customFormat="false" ht="15" hidden="false" customHeight="false" outlineLevel="0" collapsed="false">
      <c r="A90" s="9" t="str">
        <f aca="false">IF(B90="","",ROW()-2)</f>
        <v/>
      </c>
      <c r="B90" s="16"/>
      <c r="C90" s="10"/>
      <c r="D90" s="10"/>
      <c r="E90" s="19" t="s">
        <v>121</v>
      </c>
      <c r="F90" s="10"/>
      <c r="G90" s="10"/>
      <c r="H90" s="20"/>
    </row>
    <row r="91" customFormat="false" ht="15" hidden="false" customHeight="false" outlineLevel="0" collapsed="false">
      <c r="A91" s="9" t="str">
        <f aca="false">IF(B91="","",ROW()-2)</f>
        <v/>
      </c>
      <c r="B91" s="16"/>
      <c r="C91" s="10"/>
      <c r="D91" s="10"/>
      <c r="E91" s="19" t="s">
        <v>121</v>
      </c>
      <c r="F91" s="10"/>
      <c r="G91" s="10"/>
      <c r="H91" s="20"/>
    </row>
    <row r="92" customFormat="false" ht="15" hidden="false" customHeight="false" outlineLevel="0" collapsed="false">
      <c r="A92" s="9" t="str">
        <f aca="false">IF(B92="","",ROW()-2)</f>
        <v/>
      </c>
      <c r="B92" s="16"/>
      <c r="C92" s="10"/>
      <c r="D92" s="10"/>
      <c r="E92" s="19" t="s">
        <v>121</v>
      </c>
      <c r="F92" s="10"/>
      <c r="G92" s="10"/>
      <c r="H92" s="20"/>
    </row>
    <row r="93" customFormat="false" ht="15" hidden="false" customHeight="false" outlineLevel="0" collapsed="false">
      <c r="A93" s="9" t="str">
        <f aca="false">IF(B93="","",ROW()-2)</f>
        <v/>
      </c>
      <c r="B93" s="16"/>
      <c r="C93" s="10"/>
      <c r="D93" s="10"/>
      <c r="E93" s="19" t="s">
        <v>121</v>
      </c>
      <c r="F93" s="10"/>
      <c r="G93" s="10"/>
      <c r="H93" s="20"/>
    </row>
    <row r="94" customFormat="false" ht="15" hidden="false" customHeight="false" outlineLevel="0" collapsed="false">
      <c r="A94" s="9" t="str">
        <f aca="false">IF(B94="","",ROW()-2)</f>
        <v/>
      </c>
      <c r="B94" s="16"/>
      <c r="C94" s="10"/>
      <c r="D94" s="10"/>
      <c r="E94" s="19" t="s">
        <v>121</v>
      </c>
      <c r="F94" s="10"/>
      <c r="G94" s="10"/>
      <c r="H94" s="20"/>
    </row>
    <row r="95" customFormat="false" ht="15" hidden="false" customHeight="false" outlineLevel="0" collapsed="false">
      <c r="A95" s="9" t="str">
        <f aca="false">IF(B95="","",ROW()-2)</f>
        <v/>
      </c>
      <c r="B95" s="16"/>
      <c r="C95" s="10"/>
      <c r="D95" s="10"/>
      <c r="E95" s="19" t="s">
        <v>121</v>
      </c>
      <c r="F95" s="10"/>
      <c r="G95" s="10"/>
      <c r="H95" s="20"/>
    </row>
    <row r="96" customFormat="false" ht="15" hidden="false" customHeight="false" outlineLevel="0" collapsed="false">
      <c r="A96" s="9" t="str">
        <f aca="false">IF(B96="","",ROW()-2)</f>
        <v/>
      </c>
      <c r="B96" s="16"/>
      <c r="C96" s="10"/>
      <c r="D96" s="10"/>
      <c r="E96" s="19" t="s">
        <v>121</v>
      </c>
      <c r="F96" s="10"/>
      <c r="G96" s="10"/>
      <c r="H96" s="20"/>
    </row>
    <row r="97" customFormat="false" ht="15" hidden="false" customHeight="false" outlineLevel="0" collapsed="false">
      <c r="A97" s="9" t="str">
        <f aca="false">IF(B97="","",ROW()-2)</f>
        <v/>
      </c>
      <c r="B97" s="16"/>
      <c r="C97" s="10"/>
      <c r="D97" s="10"/>
      <c r="E97" s="19" t="s">
        <v>121</v>
      </c>
      <c r="F97" s="10"/>
      <c r="G97" s="10"/>
      <c r="H97" s="20"/>
    </row>
    <row r="98" customFormat="false" ht="15" hidden="false" customHeight="false" outlineLevel="0" collapsed="false">
      <c r="A98" s="9" t="str">
        <f aca="false">IF(B98="","",ROW()-2)</f>
        <v/>
      </c>
      <c r="B98" s="16"/>
      <c r="C98" s="10"/>
      <c r="D98" s="10"/>
      <c r="E98" s="19" t="s">
        <v>121</v>
      </c>
      <c r="F98" s="10"/>
      <c r="G98" s="10"/>
      <c r="H98" s="20"/>
    </row>
    <row r="99" customFormat="false" ht="15" hidden="false" customHeight="false" outlineLevel="0" collapsed="false">
      <c r="A99" s="9" t="str">
        <f aca="false">IF(B99="","",ROW()-2)</f>
        <v/>
      </c>
      <c r="B99" s="16"/>
      <c r="C99" s="10"/>
      <c r="D99" s="10"/>
      <c r="E99" s="19" t="s">
        <v>121</v>
      </c>
      <c r="F99" s="10"/>
      <c r="G99" s="10"/>
      <c r="H99" s="20"/>
    </row>
    <row r="100" customFormat="false" ht="15" hidden="false" customHeight="false" outlineLevel="0" collapsed="false">
      <c r="A100" s="9" t="str">
        <f aca="false">IF(B100="","",ROW()-2)</f>
        <v/>
      </c>
      <c r="B100" s="16"/>
      <c r="C100" s="10"/>
      <c r="D100" s="10"/>
      <c r="E100" s="19" t="s">
        <v>121</v>
      </c>
      <c r="F100" s="10"/>
      <c r="G100" s="10"/>
      <c r="H100" s="20"/>
    </row>
    <row r="101" customFormat="false" ht="15" hidden="false" customHeight="false" outlineLevel="0" collapsed="false">
      <c r="A101" s="9" t="str">
        <f aca="false">IF(B101="","",ROW()-2)</f>
        <v/>
      </c>
      <c r="B101" s="16"/>
      <c r="C101" s="10"/>
      <c r="D101" s="10"/>
      <c r="E101" s="19" t="s">
        <v>121</v>
      </c>
      <c r="F101" s="10"/>
      <c r="G101" s="10"/>
      <c r="H101" s="20"/>
    </row>
    <row r="102" customFormat="false" ht="15" hidden="false" customHeight="false" outlineLevel="0" collapsed="false">
      <c r="A102" s="9" t="str">
        <f aca="false">IF(B102="","",ROW()-2)</f>
        <v/>
      </c>
      <c r="B102" s="16"/>
      <c r="C102" s="10"/>
      <c r="D102" s="10"/>
      <c r="E102" s="19" t="s">
        <v>121</v>
      </c>
      <c r="F102" s="10"/>
      <c r="G102" s="10"/>
      <c r="H102" s="20"/>
    </row>
    <row r="103" customFormat="false" ht="15" hidden="false" customHeight="false" outlineLevel="0" collapsed="false">
      <c r="A103" s="9" t="str">
        <f aca="false">IF(B103="","",ROW()-2)</f>
        <v/>
      </c>
      <c r="B103" s="16"/>
      <c r="C103" s="10"/>
      <c r="D103" s="10"/>
      <c r="E103" s="19" t="s">
        <v>121</v>
      </c>
      <c r="F103" s="10"/>
      <c r="G103" s="10"/>
      <c r="H103" s="20"/>
    </row>
    <row r="104" customFormat="false" ht="15" hidden="false" customHeight="false" outlineLevel="0" collapsed="false">
      <c r="A104" s="9" t="str">
        <f aca="false">IF(B104="","",ROW()-2)</f>
        <v/>
      </c>
      <c r="B104" s="16"/>
      <c r="C104" s="10"/>
      <c r="D104" s="10"/>
      <c r="E104" s="19" t="s">
        <v>121</v>
      </c>
      <c r="F104" s="10"/>
      <c r="G104" s="10"/>
      <c r="H104" s="20"/>
    </row>
    <row r="105" customFormat="false" ht="15" hidden="false" customHeight="false" outlineLevel="0" collapsed="false">
      <c r="A105" s="9" t="str">
        <f aca="false">IF(B105="","",ROW()-2)</f>
        <v/>
      </c>
      <c r="B105" s="16"/>
      <c r="C105" s="10"/>
      <c r="D105" s="10"/>
      <c r="E105" s="19" t="s">
        <v>121</v>
      </c>
      <c r="F105" s="10"/>
      <c r="G105" s="10"/>
      <c r="H105" s="20"/>
    </row>
    <row r="106" customFormat="false" ht="15" hidden="false" customHeight="false" outlineLevel="0" collapsed="false">
      <c r="A106" s="9" t="str">
        <f aca="false">IF(B106="","",ROW()-2)</f>
        <v/>
      </c>
      <c r="B106" s="16"/>
      <c r="C106" s="10"/>
      <c r="D106" s="10"/>
      <c r="E106" s="19" t="s">
        <v>121</v>
      </c>
      <c r="F106" s="10"/>
      <c r="G106" s="10"/>
      <c r="H106" s="20"/>
    </row>
    <row r="107" customFormat="false" ht="15" hidden="false" customHeight="false" outlineLevel="0" collapsed="false">
      <c r="A107" s="9" t="str">
        <f aca="false">IF(B107="","",ROW()-2)</f>
        <v/>
      </c>
      <c r="B107" s="16"/>
      <c r="C107" s="10"/>
      <c r="D107" s="10"/>
      <c r="E107" s="19" t="s">
        <v>121</v>
      </c>
      <c r="F107" s="10"/>
      <c r="G107" s="10"/>
      <c r="H107" s="20"/>
    </row>
    <row r="108" customFormat="false" ht="15" hidden="false" customHeight="false" outlineLevel="0" collapsed="false">
      <c r="A108" s="9" t="str">
        <f aca="false">IF(B108="","",ROW()-2)</f>
        <v/>
      </c>
      <c r="B108" s="16"/>
      <c r="C108" s="10"/>
      <c r="D108" s="10"/>
      <c r="E108" s="19" t="s">
        <v>121</v>
      </c>
      <c r="F108" s="10"/>
      <c r="G108" s="10"/>
      <c r="H108" s="20"/>
    </row>
    <row r="109" customFormat="false" ht="15" hidden="false" customHeight="false" outlineLevel="0" collapsed="false">
      <c r="A109" s="9" t="str">
        <f aca="false">IF(B109="","",ROW()-2)</f>
        <v/>
      </c>
      <c r="B109" s="16"/>
      <c r="C109" s="10"/>
      <c r="D109" s="10"/>
      <c r="E109" s="19" t="s">
        <v>121</v>
      </c>
      <c r="F109" s="10"/>
      <c r="G109" s="10"/>
      <c r="H109" s="20"/>
    </row>
    <row r="110" customFormat="false" ht="15" hidden="false" customHeight="false" outlineLevel="0" collapsed="false">
      <c r="A110" s="9" t="str">
        <f aca="false">IF(B110="","",ROW()-2)</f>
        <v/>
      </c>
      <c r="B110" s="16"/>
      <c r="C110" s="10"/>
      <c r="D110" s="10"/>
      <c r="E110" s="19" t="s">
        <v>121</v>
      </c>
      <c r="F110" s="10"/>
      <c r="G110" s="10"/>
      <c r="H110" s="20"/>
    </row>
    <row r="111" customFormat="false" ht="15" hidden="false" customHeight="false" outlineLevel="0" collapsed="false">
      <c r="A111" s="9" t="str">
        <f aca="false">IF(B111="","",ROW()-2)</f>
        <v/>
      </c>
      <c r="B111" s="16"/>
      <c r="C111" s="10"/>
      <c r="D111" s="10"/>
      <c r="E111" s="19" t="s">
        <v>121</v>
      </c>
      <c r="F111" s="10"/>
      <c r="G111" s="10"/>
      <c r="H111" s="20"/>
    </row>
    <row r="112" customFormat="false" ht="15" hidden="false" customHeight="false" outlineLevel="0" collapsed="false">
      <c r="A112" s="9" t="str">
        <f aca="false">IF(B112="","",ROW()-2)</f>
        <v/>
      </c>
      <c r="B112" s="16"/>
      <c r="C112" s="10"/>
      <c r="D112" s="10"/>
      <c r="E112" s="19" t="s">
        <v>121</v>
      </c>
      <c r="F112" s="10"/>
      <c r="G112" s="10"/>
      <c r="H112" s="20"/>
    </row>
    <row r="113" customFormat="false" ht="15" hidden="false" customHeight="false" outlineLevel="0" collapsed="false">
      <c r="A113" s="9" t="str">
        <f aca="false">IF(B113="","",ROW()-2)</f>
        <v/>
      </c>
      <c r="B113" s="16"/>
      <c r="C113" s="10"/>
      <c r="D113" s="10"/>
      <c r="E113" s="19" t="s">
        <v>121</v>
      </c>
      <c r="F113" s="10"/>
      <c r="G113" s="10"/>
      <c r="H113" s="20"/>
    </row>
    <row r="114" customFormat="false" ht="15" hidden="false" customHeight="false" outlineLevel="0" collapsed="false">
      <c r="A114" s="9" t="str">
        <f aca="false">IF(B114="","",ROW()-2)</f>
        <v/>
      </c>
      <c r="B114" s="16"/>
      <c r="C114" s="10"/>
      <c r="D114" s="10"/>
      <c r="E114" s="19" t="s">
        <v>121</v>
      </c>
      <c r="F114" s="10"/>
      <c r="G114" s="10"/>
      <c r="H114" s="20"/>
    </row>
    <row r="115" customFormat="false" ht="15" hidden="false" customHeight="false" outlineLevel="0" collapsed="false">
      <c r="A115" s="9" t="str">
        <f aca="false">IF(B115="","",ROW()-2)</f>
        <v/>
      </c>
      <c r="B115" s="16"/>
      <c r="C115" s="10"/>
      <c r="D115" s="10"/>
      <c r="E115" s="19" t="s">
        <v>121</v>
      </c>
      <c r="F115" s="10"/>
      <c r="G115" s="10"/>
      <c r="H115" s="20"/>
    </row>
    <row r="116" customFormat="false" ht="15" hidden="false" customHeight="false" outlineLevel="0" collapsed="false">
      <c r="A116" s="9" t="str">
        <f aca="false">IF(B116="","",ROW()-2)</f>
        <v/>
      </c>
      <c r="B116" s="16"/>
      <c r="C116" s="10"/>
      <c r="D116" s="10"/>
      <c r="E116" s="19" t="s">
        <v>121</v>
      </c>
      <c r="F116" s="10"/>
      <c r="G116" s="10"/>
      <c r="H116" s="20"/>
    </row>
    <row r="117" customFormat="false" ht="15" hidden="false" customHeight="false" outlineLevel="0" collapsed="false">
      <c r="A117" s="9" t="str">
        <f aca="false">IF(B117="","",ROW()-2)</f>
        <v/>
      </c>
      <c r="B117" s="16"/>
      <c r="C117" s="10"/>
      <c r="D117" s="10"/>
      <c r="E117" s="19" t="s">
        <v>121</v>
      </c>
      <c r="F117" s="10"/>
      <c r="G117" s="10"/>
      <c r="H117" s="20"/>
    </row>
    <row r="118" customFormat="false" ht="15" hidden="false" customHeight="false" outlineLevel="0" collapsed="false">
      <c r="A118" s="9" t="str">
        <f aca="false">IF(B118="","",ROW()-2)</f>
        <v/>
      </c>
      <c r="B118" s="16"/>
      <c r="C118" s="10"/>
      <c r="D118" s="10"/>
      <c r="E118" s="19" t="s">
        <v>121</v>
      </c>
      <c r="F118" s="10"/>
      <c r="G118" s="10"/>
      <c r="H118" s="20"/>
    </row>
    <row r="119" customFormat="false" ht="15" hidden="false" customHeight="false" outlineLevel="0" collapsed="false">
      <c r="A119" s="9" t="str">
        <f aca="false">IF(B119="","",ROW()-2)</f>
        <v/>
      </c>
      <c r="B119" s="16"/>
      <c r="C119" s="10"/>
      <c r="D119" s="10"/>
      <c r="E119" s="19" t="s">
        <v>121</v>
      </c>
      <c r="F119" s="10"/>
      <c r="G119" s="10"/>
      <c r="H119" s="20"/>
    </row>
    <row r="120" customFormat="false" ht="15" hidden="false" customHeight="false" outlineLevel="0" collapsed="false">
      <c r="A120" s="9" t="str">
        <f aca="false">IF(B120="","",ROW()-2)</f>
        <v/>
      </c>
      <c r="B120" s="16"/>
      <c r="C120" s="10"/>
      <c r="D120" s="10"/>
      <c r="E120" s="19" t="s">
        <v>121</v>
      </c>
      <c r="F120" s="10"/>
      <c r="G120" s="10"/>
      <c r="H120" s="20"/>
    </row>
    <row r="121" customFormat="false" ht="15" hidden="false" customHeight="false" outlineLevel="0" collapsed="false">
      <c r="A121" s="9" t="str">
        <f aca="false">IF(B121="","",ROW()-2)</f>
        <v/>
      </c>
      <c r="B121" s="16"/>
      <c r="C121" s="10"/>
      <c r="D121" s="10"/>
      <c r="E121" s="19" t="s">
        <v>121</v>
      </c>
      <c r="F121" s="10"/>
      <c r="G121" s="10"/>
      <c r="H121" s="20"/>
    </row>
    <row r="122" customFormat="false" ht="15" hidden="false" customHeight="false" outlineLevel="0" collapsed="false">
      <c r="A122" s="9" t="str">
        <f aca="false">IF(B122="","",ROW()-2)</f>
        <v/>
      </c>
      <c r="B122" s="16"/>
      <c r="C122" s="10"/>
      <c r="D122" s="10"/>
      <c r="E122" s="19" t="s">
        <v>121</v>
      </c>
      <c r="F122" s="10"/>
      <c r="G122" s="10"/>
      <c r="H122" s="20"/>
    </row>
    <row r="123" customFormat="false" ht="15" hidden="false" customHeight="false" outlineLevel="0" collapsed="false">
      <c r="A123" s="9" t="str">
        <f aca="false">IF(B123="","",ROW()-2)</f>
        <v/>
      </c>
      <c r="B123" s="16"/>
      <c r="C123" s="10"/>
      <c r="D123" s="10"/>
      <c r="E123" s="19" t="s">
        <v>121</v>
      </c>
      <c r="F123" s="10"/>
      <c r="G123" s="10"/>
      <c r="H123" s="20"/>
    </row>
    <row r="124" customFormat="false" ht="15" hidden="false" customHeight="false" outlineLevel="0" collapsed="false">
      <c r="A124" s="9" t="str">
        <f aca="false">IF(B124="","",ROW()-2)</f>
        <v/>
      </c>
      <c r="B124" s="16"/>
      <c r="C124" s="10"/>
      <c r="D124" s="10"/>
      <c r="E124" s="19" t="s">
        <v>121</v>
      </c>
      <c r="F124" s="10"/>
      <c r="G124" s="10"/>
      <c r="H124" s="20"/>
    </row>
    <row r="125" customFormat="false" ht="15" hidden="false" customHeight="false" outlineLevel="0" collapsed="false">
      <c r="A125" s="9" t="str">
        <f aca="false">IF(B125="","",ROW()-2)</f>
        <v/>
      </c>
      <c r="B125" s="16"/>
      <c r="C125" s="10"/>
      <c r="D125" s="10"/>
      <c r="E125" s="19" t="s">
        <v>121</v>
      </c>
      <c r="F125" s="10"/>
      <c r="G125" s="10"/>
      <c r="H125" s="20"/>
    </row>
    <row r="126" customFormat="false" ht="15" hidden="false" customHeight="false" outlineLevel="0" collapsed="false">
      <c r="A126" s="9" t="str">
        <f aca="false">IF(B126="","",ROW()-2)</f>
        <v/>
      </c>
      <c r="B126" s="16"/>
      <c r="C126" s="10"/>
      <c r="D126" s="10"/>
      <c r="E126" s="19" t="s">
        <v>121</v>
      </c>
      <c r="F126" s="10"/>
      <c r="G126" s="10"/>
      <c r="H126" s="20"/>
    </row>
    <row r="127" customFormat="false" ht="15" hidden="false" customHeight="false" outlineLevel="0" collapsed="false">
      <c r="A127" s="9" t="str">
        <f aca="false">IF(B127="","",ROW()-2)</f>
        <v/>
      </c>
      <c r="B127" s="16"/>
      <c r="C127" s="10"/>
      <c r="D127" s="10"/>
      <c r="E127" s="19" t="s">
        <v>121</v>
      </c>
      <c r="F127" s="10"/>
      <c r="G127" s="10"/>
      <c r="H127" s="20"/>
    </row>
    <row r="128" customFormat="false" ht="15" hidden="false" customHeight="false" outlineLevel="0" collapsed="false">
      <c r="A128" s="9" t="str">
        <f aca="false">IF(B128="","",ROW()-2)</f>
        <v/>
      </c>
      <c r="B128" s="16"/>
      <c r="C128" s="10"/>
      <c r="D128" s="10"/>
      <c r="E128" s="19" t="s">
        <v>121</v>
      </c>
      <c r="F128" s="10"/>
      <c r="G128" s="10"/>
      <c r="H128" s="20"/>
    </row>
    <row r="129" customFormat="false" ht="15" hidden="false" customHeight="false" outlineLevel="0" collapsed="false">
      <c r="A129" s="9" t="str">
        <f aca="false">IF(B129="","",ROW()-2)</f>
        <v/>
      </c>
      <c r="B129" s="16"/>
      <c r="C129" s="10"/>
      <c r="D129" s="10"/>
      <c r="E129" s="19" t="s">
        <v>121</v>
      </c>
      <c r="F129" s="10"/>
      <c r="G129" s="10"/>
      <c r="H129" s="20"/>
    </row>
    <row r="130" customFormat="false" ht="15" hidden="false" customHeight="false" outlineLevel="0" collapsed="false">
      <c r="A130" s="9" t="str">
        <f aca="false">IF(B130="","",ROW()-2)</f>
        <v/>
      </c>
      <c r="B130" s="16"/>
      <c r="C130" s="10"/>
      <c r="D130" s="10"/>
      <c r="E130" s="19" t="s">
        <v>121</v>
      </c>
      <c r="F130" s="10"/>
      <c r="G130" s="10"/>
      <c r="H130" s="20"/>
    </row>
    <row r="131" customFormat="false" ht="15" hidden="false" customHeight="false" outlineLevel="0" collapsed="false">
      <c r="A131" s="9" t="str">
        <f aca="false">IF(B131="","",ROW()-2)</f>
        <v/>
      </c>
      <c r="B131" s="16"/>
      <c r="C131" s="10"/>
      <c r="D131" s="10"/>
      <c r="E131" s="19" t="s">
        <v>121</v>
      </c>
      <c r="F131" s="10"/>
      <c r="G131" s="10"/>
      <c r="H131" s="20"/>
    </row>
    <row r="132" customFormat="false" ht="15" hidden="false" customHeight="false" outlineLevel="0" collapsed="false">
      <c r="A132" s="9" t="str">
        <f aca="false">IF(B132="","",ROW()-2)</f>
        <v/>
      </c>
      <c r="B132" s="16"/>
      <c r="C132" s="10"/>
      <c r="D132" s="10"/>
      <c r="E132" s="19" t="s">
        <v>121</v>
      </c>
      <c r="F132" s="10"/>
      <c r="G132" s="10"/>
      <c r="H132" s="20"/>
    </row>
    <row r="133" customFormat="false" ht="15" hidden="false" customHeight="false" outlineLevel="0" collapsed="false">
      <c r="A133" s="9" t="str">
        <f aca="false">IF(B133="","",ROW()-2)</f>
        <v/>
      </c>
      <c r="B133" s="16"/>
      <c r="C133" s="10"/>
      <c r="D133" s="10"/>
      <c r="E133" s="19" t="s">
        <v>121</v>
      </c>
      <c r="F133" s="10"/>
      <c r="G133" s="10"/>
      <c r="H133" s="20"/>
    </row>
    <row r="134" customFormat="false" ht="15" hidden="false" customHeight="false" outlineLevel="0" collapsed="false">
      <c r="A134" s="9" t="str">
        <f aca="false">IF(B134="","",ROW()-2)</f>
        <v/>
      </c>
      <c r="B134" s="16"/>
      <c r="C134" s="10"/>
      <c r="D134" s="10"/>
      <c r="E134" s="19" t="s">
        <v>121</v>
      </c>
      <c r="F134" s="10"/>
      <c r="G134" s="10"/>
      <c r="H134" s="20"/>
    </row>
    <row r="135" customFormat="false" ht="15" hidden="false" customHeight="false" outlineLevel="0" collapsed="false">
      <c r="A135" s="9" t="str">
        <f aca="false">IF(B135="","",ROW()-2)</f>
        <v/>
      </c>
      <c r="B135" s="16"/>
      <c r="C135" s="10"/>
      <c r="D135" s="10"/>
      <c r="E135" s="19" t="s">
        <v>121</v>
      </c>
      <c r="F135" s="10"/>
      <c r="G135" s="10"/>
      <c r="H135" s="20"/>
    </row>
    <row r="136" customFormat="false" ht="15" hidden="false" customHeight="false" outlineLevel="0" collapsed="false">
      <c r="A136" s="9" t="str">
        <f aca="false">IF(B136="","",ROW()-2)</f>
        <v/>
      </c>
      <c r="B136" s="16"/>
      <c r="C136" s="10"/>
      <c r="D136" s="10"/>
      <c r="E136" s="19" t="s">
        <v>121</v>
      </c>
      <c r="F136" s="10"/>
      <c r="G136" s="10"/>
      <c r="H136" s="20"/>
    </row>
    <row r="137" customFormat="false" ht="15" hidden="false" customHeight="false" outlineLevel="0" collapsed="false">
      <c r="A137" s="9" t="str">
        <f aca="false">IF(B137="","",ROW()-2)</f>
        <v/>
      </c>
      <c r="B137" s="16"/>
      <c r="C137" s="10"/>
      <c r="D137" s="10"/>
      <c r="E137" s="19" t="s">
        <v>121</v>
      </c>
      <c r="F137" s="10"/>
      <c r="G137" s="10"/>
      <c r="H137" s="20"/>
    </row>
    <row r="138" customFormat="false" ht="15" hidden="false" customHeight="false" outlineLevel="0" collapsed="false">
      <c r="A138" s="9" t="str">
        <f aca="false">IF(B138="","",ROW()-2)</f>
        <v/>
      </c>
      <c r="B138" s="16"/>
      <c r="C138" s="10"/>
      <c r="D138" s="10"/>
      <c r="E138" s="19" t="s">
        <v>121</v>
      </c>
      <c r="F138" s="10"/>
      <c r="G138" s="10"/>
      <c r="H138" s="20"/>
    </row>
    <row r="139" customFormat="false" ht="15" hidden="false" customHeight="false" outlineLevel="0" collapsed="false">
      <c r="A139" s="9" t="str">
        <f aca="false">IF(B139="","",ROW()-2)</f>
        <v/>
      </c>
      <c r="B139" s="16"/>
      <c r="C139" s="10"/>
      <c r="D139" s="10"/>
      <c r="E139" s="19" t="s">
        <v>121</v>
      </c>
      <c r="F139" s="10"/>
      <c r="G139" s="10"/>
      <c r="H139" s="20"/>
    </row>
    <row r="140" customFormat="false" ht="15" hidden="false" customHeight="false" outlineLevel="0" collapsed="false">
      <c r="A140" s="9" t="str">
        <f aca="false">IF(B140="","",ROW()-2)</f>
        <v/>
      </c>
      <c r="B140" s="16"/>
      <c r="C140" s="10"/>
      <c r="D140" s="10"/>
      <c r="E140" s="19" t="s">
        <v>121</v>
      </c>
      <c r="F140" s="10"/>
      <c r="G140" s="10"/>
      <c r="H140" s="20"/>
    </row>
    <row r="141" customFormat="false" ht="15" hidden="false" customHeight="false" outlineLevel="0" collapsed="false">
      <c r="A141" s="9" t="str">
        <f aca="false">IF(B141="","",ROW()-2)</f>
        <v/>
      </c>
      <c r="B141" s="16"/>
      <c r="C141" s="10"/>
      <c r="D141" s="10"/>
      <c r="E141" s="19" t="s">
        <v>121</v>
      </c>
      <c r="F141" s="10"/>
      <c r="G141" s="10"/>
      <c r="H141" s="20"/>
    </row>
    <row r="142" customFormat="false" ht="15" hidden="false" customHeight="false" outlineLevel="0" collapsed="false">
      <c r="A142" s="9" t="str">
        <f aca="false">IF(B142="","",ROW()-2)</f>
        <v/>
      </c>
      <c r="B142" s="16"/>
      <c r="C142" s="10"/>
      <c r="D142" s="10"/>
      <c r="E142" s="19" t="s">
        <v>121</v>
      </c>
      <c r="F142" s="10"/>
      <c r="G142" s="10"/>
      <c r="H142" s="20"/>
    </row>
    <row r="143" customFormat="false" ht="15" hidden="false" customHeight="false" outlineLevel="0" collapsed="false">
      <c r="A143" s="9" t="str">
        <f aca="false">IF(B143="","",ROW()-2)</f>
        <v/>
      </c>
      <c r="B143" s="16"/>
      <c r="C143" s="10"/>
      <c r="D143" s="10"/>
      <c r="E143" s="19" t="s">
        <v>121</v>
      </c>
      <c r="F143" s="10"/>
      <c r="G143" s="10"/>
      <c r="H143" s="20"/>
    </row>
    <row r="144" customFormat="false" ht="15" hidden="false" customHeight="false" outlineLevel="0" collapsed="false">
      <c r="A144" s="9" t="str">
        <f aca="false">IF(B144="","",ROW()-2)</f>
        <v/>
      </c>
      <c r="B144" s="16"/>
      <c r="C144" s="10"/>
      <c r="D144" s="10"/>
      <c r="E144" s="19" t="s">
        <v>121</v>
      </c>
      <c r="F144" s="10"/>
      <c r="G144" s="10"/>
      <c r="H144" s="20"/>
    </row>
    <row r="145" customFormat="false" ht="15" hidden="false" customHeight="false" outlineLevel="0" collapsed="false">
      <c r="A145" s="9" t="str">
        <f aca="false">IF(B145="","",ROW()-2)</f>
        <v/>
      </c>
      <c r="B145" s="16"/>
      <c r="C145" s="10"/>
      <c r="D145" s="10"/>
      <c r="E145" s="19" t="s">
        <v>121</v>
      </c>
      <c r="F145" s="10"/>
      <c r="G145" s="10"/>
      <c r="H145" s="20"/>
    </row>
    <row r="146" customFormat="false" ht="15" hidden="false" customHeight="false" outlineLevel="0" collapsed="false">
      <c r="A146" s="9" t="str">
        <f aca="false">IF(B146="","",ROW()-2)</f>
        <v/>
      </c>
      <c r="B146" s="16"/>
      <c r="C146" s="10"/>
      <c r="D146" s="10"/>
      <c r="E146" s="19" t="s">
        <v>121</v>
      </c>
      <c r="F146" s="10"/>
      <c r="G146" s="10"/>
      <c r="H146" s="20"/>
    </row>
    <row r="147" customFormat="false" ht="15" hidden="false" customHeight="false" outlineLevel="0" collapsed="false">
      <c r="A147" s="9" t="str">
        <f aca="false">IF(B147="","",ROW()-2)</f>
        <v/>
      </c>
      <c r="B147" s="16"/>
      <c r="C147" s="10"/>
      <c r="D147" s="10"/>
      <c r="E147" s="19" t="s">
        <v>121</v>
      </c>
      <c r="F147" s="10"/>
      <c r="G147" s="10"/>
      <c r="H147" s="20"/>
    </row>
    <row r="148" customFormat="false" ht="15" hidden="false" customHeight="false" outlineLevel="0" collapsed="false">
      <c r="A148" s="9" t="str">
        <f aca="false">IF(B148="","",ROW()-2)</f>
        <v/>
      </c>
      <c r="B148" s="16"/>
      <c r="C148" s="10"/>
      <c r="D148" s="10"/>
      <c r="E148" s="19" t="s">
        <v>121</v>
      </c>
      <c r="F148" s="10"/>
      <c r="G148" s="10"/>
      <c r="H148" s="20"/>
    </row>
    <row r="149" customFormat="false" ht="15" hidden="false" customHeight="false" outlineLevel="0" collapsed="false">
      <c r="A149" s="9" t="str">
        <f aca="false">IF(B149="","",ROW()-2)</f>
        <v/>
      </c>
      <c r="B149" s="16"/>
      <c r="C149" s="10"/>
      <c r="D149" s="10"/>
      <c r="E149" s="19" t="s">
        <v>121</v>
      </c>
      <c r="F149" s="10"/>
      <c r="G149" s="10"/>
      <c r="H149" s="20"/>
    </row>
    <row r="150" customFormat="false" ht="15" hidden="false" customHeight="false" outlineLevel="0" collapsed="false">
      <c r="A150" s="9" t="str">
        <f aca="false">IF(B150="","",ROW()-2)</f>
        <v/>
      </c>
      <c r="B150" s="16"/>
      <c r="C150" s="10"/>
      <c r="D150" s="10"/>
      <c r="E150" s="19" t="s">
        <v>121</v>
      </c>
      <c r="F150" s="10"/>
      <c r="G150" s="10"/>
      <c r="H150" s="20"/>
    </row>
    <row r="151" customFormat="false" ht="15" hidden="false" customHeight="false" outlineLevel="0" collapsed="false">
      <c r="A151" s="9" t="str">
        <f aca="false">IF(B151="","",ROW()-2)</f>
        <v/>
      </c>
      <c r="B151" s="16"/>
      <c r="C151" s="10"/>
      <c r="D151" s="10"/>
      <c r="E151" s="19" t="s">
        <v>121</v>
      </c>
      <c r="F151" s="10"/>
      <c r="G151" s="10"/>
      <c r="H151" s="20"/>
    </row>
    <row r="152" customFormat="false" ht="15" hidden="false" customHeight="false" outlineLevel="0" collapsed="false">
      <c r="A152" s="9" t="str">
        <f aca="false">IF(B152="","",ROW()-2)</f>
        <v/>
      </c>
      <c r="B152" s="16"/>
      <c r="C152" s="10"/>
      <c r="D152" s="10"/>
      <c r="E152" s="19" t="s">
        <v>121</v>
      </c>
      <c r="F152" s="10"/>
      <c r="G152" s="10"/>
      <c r="H152" s="20"/>
    </row>
    <row r="153" customFormat="false" ht="15" hidden="false" customHeight="false" outlineLevel="0" collapsed="false">
      <c r="A153" s="9" t="str">
        <f aca="false">IF(B153="","",ROW()-2)</f>
        <v/>
      </c>
      <c r="B153" s="16"/>
      <c r="C153" s="10"/>
      <c r="D153" s="10"/>
      <c r="E153" s="19" t="s">
        <v>121</v>
      </c>
      <c r="F153" s="10"/>
      <c r="G153" s="10"/>
      <c r="H153" s="20"/>
    </row>
    <row r="154" customFormat="false" ht="15" hidden="false" customHeight="false" outlineLevel="0" collapsed="false">
      <c r="A154" s="9" t="str">
        <f aca="false">IF(B154="","",ROW()-2)</f>
        <v/>
      </c>
      <c r="B154" s="16"/>
      <c r="C154" s="10"/>
      <c r="D154" s="10"/>
      <c r="E154" s="19" t="s">
        <v>121</v>
      </c>
      <c r="F154" s="10"/>
      <c r="G154" s="10"/>
      <c r="H154" s="20"/>
    </row>
    <row r="155" customFormat="false" ht="15" hidden="false" customHeight="false" outlineLevel="0" collapsed="false">
      <c r="A155" s="9" t="str">
        <f aca="false">IF(B155="","",ROW()-2)</f>
        <v/>
      </c>
      <c r="B155" s="16"/>
      <c r="C155" s="10"/>
      <c r="D155" s="10"/>
      <c r="E155" s="19" t="s">
        <v>121</v>
      </c>
      <c r="F155" s="10"/>
      <c r="G155" s="10"/>
      <c r="H155" s="20"/>
    </row>
    <row r="156" customFormat="false" ht="15" hidden="false" customHeight="false" outlineLevel="0" collapsed="false">
      <c r="A156" s="9" t="str">
        <f aca="false">IF(B156="","",ROW()-2)</f>
        <v/>
      </c>
      <c r="B156" s="16"/>
      <c r="C156" s="10"/>
      <c r="D156" s="10"/>
      <c r="E156" s="19" t="s">
        <v>121</v>
      </c>
      <c r="F156" s="10"/>
      <c r="G156" s="10"/>
      <c r="H156" s="20"/>
    </row>
    <row r="157" customFormat="false" ht="15" hidden="false" customHeight="false" outlineLevel="0" collapsed="false">
      <c r="A157" s="9" t="str">
        <f aca="false">IF(B157="","",ROW()-2)</f>
        <v/>
      </c>
      <c r="B157" s="16"/>
      <c r="C157" s="10"/>
      <c r="D157" s="10"/>
      <c r="E157" s="19" t="s">
        <v>121</v>
      </c>
      <c r="F157" s="10"/>
      <c r="G157" s="10"/>
      <c r="H157" s="20"/>
    </row>
    <row r="158" customFormat="false" ht="15" hidden="false" customHeight="false" outlineLevel="0" collapsed="false">
      <c r="A158" s="9" t="str">
        <f aca="false">IF(B158="","",ROW()-2)</f>
        <v/>
      </c>
      <c r="B158" s="16"/>
      <c r="C158" s="10"/>
      <c r="D158" s="10"/>
      <c r="E158" s="19" t="s">
        <v>121</v>
      </c>
      <c r="F158" s="10"/>
      <c r="G158" s="10"/>
      <c r="H158" s="20"/>
    </row>
    <row r="159" customFormat="false" ht="15" hidden="false" customHeight="false" outlineLevel="0" collapsed="false">
      <c r="A159" s="9" t="str">
        <f aca="false">IF(B159="","",ROW()-2)</f>
        <v/>
      </c>
      <c r="B159" s="16"/>
      <c r="C159" s="10"/>
      <c r="D159" s="10"/>
      <c r="E159" s="19" t="s">
        <v>121</v>
      </c>
      <c r="F159" s="10"/>
      <c r="G159" s="10"/>
      <c r="H159" s="20"/>
    </row>
    <row r="160" customFormat="false" ht="15" hidden="false" customHeight="false" outlineLevel="0" collapsed="false">
      <c r="A160" s="9" t="str">
        <f aca="false">IF(B160="","",ROW()-2)</f>
        <v/>
      </c>
      <c r="B160" s="16"/>
      <c r="C160" s="10"/>
      <c r="D160" s="10"/>
      <c r="E160" s="19" t="s">
        <v>121</v>
      </c>
      <c r="F160" s="10"/>
      <c r="G160" s="10"/>
      <c r="H160" s="20"/>
    </row>
    <row r="161" customFormat="false" ht="15" hidden="false" customHeight="false" outlineLevel="0" collapsed="false">
      <c r="A161" s="9" t="str">
        <f aca="false">IF(B161="","",ROW()-2)</f>
        <v/>
      </c>
      <c r="B161" s="16"/>
      <c r="C161" s="10"/>
      <c r="D161" s="10"/>
      <c r="E161" s="19" t="s">
        <v>121</v>
      </c>
      <c r="F161" s="10"/>
      <c r="G161" s="10"/>
      <c r="H161" s="20"/>
    </row>
    <row r="162" customFormat="false" ht="15" hidden="false" customHeight="false" outlineLevel="0" collapsed="false">
      <c r="A162" s="9" t="str">
        <f aca="false">IF(B162="","",ROW()-2)</f>
        <v/>
      </c>
      <c r="B162" s="16"/>
      <c r="C162" s="10"/>
      <c r="D162" s="10"/>
      <c r="E162" s="19" t="s">
        <v>121</v>
      </c>
      <c r="F162" s="10"/>
      <c r="G162" s="10"/>
      <c r="H162" s="20"/>
    </row>
    <row r="163" customFormat="false" ht="15" hidden="false" customHeight="false" outlineLevel="0" collapsed="false">
      <c r="A163" s="9" t="str">
        <f aca="false">IF(B163="","",ROW()-2)</f>
        <v/>
      </c>
      <c r="B163" s="16"/>
      <c r="C163" s="10"/>
      <c r="D163" s="10"/>
      <c r="E163" s="19" t="s">
        <v>121</v>
      </c>
      <c r="F163" s="10"/>
      <c r="G163" s="10"/>
      <c r="H163" s="20"/>
    </row>
    <row r="164" customFormat="false" ht="15" hidden="false" customHeight="false" outlineLevel="0" collapsed="false">
      <c r="A164" s="9" t="str">
        <f aca="false">IF(B164="","",ROW()-2)</f>
        <v/>
      </c>
      <c r="B164" s="16"/>
      <c r="C164" s="10"/>
      <c r="D164" s="10"/>
      <c r="E164" s="19" t="s">
        <v>121</v>
      </c>
      <c r="F164" s="10"/>
      <c r="G164" s="10"/>
      <c r="H164" s="20"/>
    </row>
    <row r="165" customFormat="false" ht="15" hidden="false" customHeight="false" outlineLevel="0" collapsed="false">
      <c r="A165" s="9" t="str">
        <f aca="false">IF(B165="","",ROW()-2)</f>
        <v/>
      </c>
      <c r="B165" s="16"/>
      <c r="C165" s="10"/>
      <c r="D165" s="10"/>
      <c r="E165" s="19" t="s">
        <v>121</v>
      </c>
      <c r="F165" s="10"/>
      <c r="G165" s="10"/>
      <c r="H165" s="20"/>
    </row>
    <row r="166" customFormat="false" ht="15" hidden="false" customHeight="false" outlineLevel="0" collapsed="false">
      <c r="A166" s="9" t="str">
        <f aca="false">IF(B166="","",ROW()-2)</f>
        <v/>
      </c>
      <c r="B166" s="16"/>
      <c r="C166" s="10"/>
      <c r="D166" s="10"/>
      <c r="E166" s="19" t="s">
        <v>121</v>
      </c>
      <c r="F166" s="10"/>
      <c r="G166" s="10"/>
      <c r="H166" s="20"/>
    </row>
    <row r="167" customFormat="false" ht="15" hidden="false" customHeight="false" outlineLevel="0" collapsed="false">
      <c r="A167" s="9" t="str">
        <f aca="false">IF(B167="","",ROW()-2)</f>
        <v/>
      </c>
      <c r="B167" s="16"/>
      <c r="C167" s="10"/>
      <c r="D167" s="10"/>
      <c r="E167" s="19" t="s">
        <v>121</v>
      </c>
      <c r="F167" s="10"/>
      <c r="G167" s="10"/>
      <c r="H167" s="20"/>
    </row>
    <row r="168" customFormat="false" ht="15" hidden="false" customHeight="false" outlineLevel="0" collapsed="false">
      <c r="A168" s="9" t="str">
        <f aca="false">IF(B168="","",ROW()-2)</f>
        <v/>
      </c>
      <c r="B168" s="16"/>
      <c r="C168" s="10"/>
      <c r="D168" s="10"/>
      <c r="E168" s="19" t="s">
        <v>121</v>
      </c>
      <c r="F168" s="10"/>
      <c r="G168" s="10"/>
      <c r="H168" s="20"/>
    </row>
    <row r="169" customFormat="false" ht="15" hidden="false" customHeight="false" outlineLevel="0" collapsed="false">
      <c r="A169" s="9" t="str">
        <f aca="false">IF(B169="","",ROW()-2)</f>
        <v/>
      </c>
      <c r="B169" s="16"/>
      <c r="C169" s="10"/>
      <c r="D169" s="10"/>
      <c r="E169" s="19" t="s">
        <v>121</v>
      </c>
      <c r="F169" s="10"/>
      <c r="G169" s="10"/>
      <c r="H169" s="20"/>
    </row>
    <row r="170" customFormat="false" ht="15" hidden="false" customHeight="false" outlineLevel="0" collapsed="false">
      <c r="A170" s="9" t="str">
        <f aca="false">IF(B170="","",ROW()-2)</f>
        <v/>
      </c>
      <c r="B170" s="16"/>
      <c r="C170" s="10"/>
      <c r="D170" s="10"/>
      <c r="E170" s="19" t="s">
        <v>121</v>
      </c>
      <c r="F170" s="10"/>
      <c r="G170" s="10"/>
      <c r="H170" s="20"/>
    </row>
    <row r="171" customFormat="false" ht="15" hidden="false" customHeight="false" outlineLevel="0" collapsed="false">
      <c r="A171" s="9" t="str">
        <f aca="false">IF(B171="","",ROW()-2)</f>
        <v/>
      </c>
      <c r="B171" s="16"/>
      <c r="C171" s="10"/>
      <c r="D171" s="10"/>
      <c r="E171" s="19" t="s">
        <v>121</v>
      </c>
      <c r="F171" s="10"/>
      <c r="G171" s="10"/>
      <c r="H171" s="20"/>
    </row>
    <row r="172" customFormat="false" ht="15" hidden="false" customHeight="false" outlineLevel="0" collapsed="false">
      <c r="A172" s="9" t="str">
        <f aca="false">IF(B172="","",ROW()-2)</f>
        <v/>
      </c>
      <c r="B172" s="16"/>
      <c r="C172" s="10"/>
      <c r="D172" s="10"/>
      <c r="E172" s="19" t="s">
        <v>121</v>
      </c>
      <c r="F172" s="10"/>
      <c r="G172" s="10"/>
      <c r="H172" s="20"/>
    </row>
    <row r="173" customFormat="false" ht="15" hidden="false" customHeight="false" outlineLevel="0" collapsed="false">
      <c r="A173" s="9" t="str">
        <f aca="false">IF(B173="","",ROW()-2)</f>
        <v/>
      </c>
      <c r="B173" s="16"/>
      <c r="C173" s="10"/>
      <c r="D173" s="10"/>
      <c r="E173" s="19" t="s">
        <v>121</v>
      </c>
      <c r="F173" s="10"/>
      <c r="G173" s="10"/>
      <c r="H173" s="20"/>
    </row>
    <row r="174" customFormat="false" ht="15" hidden="false" customHeight="false" outlineLevel="0" collapsed="false">
      <c r="A174" s="9" t="str">
        <f aca="false">IF(B174="","",ROW()-2)</f>
        <v/>
      </c>
      <c r="B174" s="16"/>
      <c r="C174" s="10"/>
      <c r="D174" s="10"/>
      <c r="E174" s="19" t="s">
        <v>121</v>
      </c>
      <c r="F174" s="10"/>
      <c r="G174" s="10"/>
      <c r="H174" s="20"/>
    </row>
    <row r="175" customFormat="false" ht="15" hidden="false" customHeight="false" outlineLevel="0" collapsed="false">
      <c r="A175" s="9" t="str">
        <f aca="false">IF(B175="","",ROW()-2)</f>
        <v/>
      </c>
      <c r="B175" s="16"/>
      <c r="C175" s="10"/>
      <c r="D175" s="10"/>
      <c r="E175" s="19" t="s">
        <v>121</v>
      </c>
      <c r="F175" s="10"/>
      <c r="G175" s="10"/>
      <c r="H175" s="20"/>
    </row>
    <row r="176" customFormat="false" ht="15" hidden="false" customHeight="false" outlineLevel="0" collapsed="false">
      <c r="A176" s="9" t="str">
        <f aca="false">IF(B176="","",ROW()-2)</f>
        <v/>
      </c>
      <c r="B176" s="16"/>
      <c r="C176" s="10"/>
      <c r="D176" s="10"/>
      <c r="E176" s="19" t="s">
        <v>121</v>
      </c>
      <c r="F176" s="10"/>
      <c r="G176" s="10"/>
      <c r="H176" s="20"/>
    </row>
    <row r="177" customFormat="false" ht="15" hidden="false" customHeight="false" outlineLevel="0" collapsed="false">
      <c r="A177" s="9" t="str">
        <f aca="false">IF(B177="","",ROW()-2)</f>
        <v/>
      </c>
      <c r="B177" s="16"/>
      <c r="C177" s="10"/>
      <c r="D177" s="10"/>
      <c r="E177" s="19" t="s">
        <v>121</v>
      </c>
      <c r="F177" s="10"/>
      <c r="G177" s="10"/>
      <c r="H177" s="20"/>
    </row>
    <row r="178" customFormat="false" ht="15" hidden="false" customHeight="false" outlineLevel="0" collapsed="false">
      <c r="A178" s="9" t="str">
        <f aca="false">IF(B178="","",ROW()-2)</f>
        <v/>
      </c>
      <c r="B178" s="16"/>
      <c r="C178" s="10"/>
      <c r="D178" s="10"/>
      <c r="E178" s="19" t="s">
        <v>121</v>
      </c>
      <c r="F178" s="10"/>
      <c r="G178" s="10"/>
      <c r="H178" s="20"/>
    </row>
    <row r="179" customFormat="false" ht="15" hidden="false" customHeight="false" outlineLevel="0" collapsed="false">
      <c r="A179" s="9" t="str">
        <f aca="false">IF(B179="","",ROW()-2)</f>
        <v/>
      </c>
      <c r="B179" s="16"/>
      <c r="C179" s="10"/>
      <c r="D179" s="10"/>
      <c r="E179" s="19" t="s">
        <v>121</v>
      </c>
      <c r="F179" s="10"/>
      <c r="G179" s="10"/>
      <c r="H179" s="20"/>
    </row>
    <row r="180" customFormat="false" ht="15" hidden="false" customHeight="false" outlineLevel="0" collapsed="false">
      <c r="A180" s="9" t="str">
        <f aca="false">IF(B180="","",ROW()-2)</f>
        <v/>
      </c>
      <c r="B180" s="16"/>
      <c r="C180" s="10"/>
      <c r="D180" s="10"/>
      <c r="E180" s="19" t="s">
        <v>121</v>
      </c>
      <c r="F180" s="10"/>
      <c r="G180" s="10"/>
      <c r="H180" s="20"/>
    </row>
    <row r="181" customFormat="false" ht="15" hidden="false" customHeight="false" outlineLevel="0" collapsed="false">
      <c r="A181" s="9" t="str">
        <f aca="false">IF(B181="","",ROW()-2)</f>
        <v/>
      </c>
      <c r="B181" s="16"/>
      <c r="C181" s="10"/>
      <c r="D181" s="10"/>
      <c r="E181" s="19" t="s">
        <v>121</v>
      </c>
      <c r="F181" s="10"/>
      <c r="G181" s="10"/>
      <c r="H181" s="20"/>
    </row>
    <row r="182" customFormat="false" ht="15" hidden="false" customHeight="false" outlineLevel="0" collapsed="false">
      <c r="A182" s="9" t="str">
        <f aca="false">IF(B182="","",ROW()-2)</f>
        <v/>
      </c>
      <c r="B182" s="16"/>
      <c r="C182" s="10"/>
      <c r="D182" s="10"/>
      <c r="E182" s="19" t="s">
        <v>121</v>
      </c>
      <c r="F182" s="10"/>
      <c r="G182" s="10"/>
      <c r="H182" s="20"/>
    </row>
    <row r="183" customFormat="false" ht="15" hidden="false" customHeight="false" outlineLevel="0" collapsed="false">
      <c r="A183" s="9" t="str">
        <f aca="false">IF(B183="","",ROW()-2)</f>
        <v/>
      </c>
      <c r="B183" s="16"/>
      <c r="C183" s="10"/>
      <c r="D183" s="10"/>
      <c r="E183" s="19" t="s">
        <v>121</v>
      </c>
      <c r="F183" s="10"/>
      <c r="G183" s="10"/>
      <c r="H183" s="20"/>
    </row>
    <row r="184" customFormat="false" ht="15" hidden="false" customHeight="false" outlineLevel="0" collapsed="false">
      <c r="A184" s="9" t="str">
        <f aca="false">IF(B184="","",ROW()-2)</f>
        <v/>
      </c>
      <c r="B184" s="16"/>
      <c r="C184" s="10"/>
      <c r="D184" s="10"/>
      <c r="E184" s="19" t="s">
        <v>121</v>
      </c>
      <c r="F184" s="10"/>
      <c r="G184" s="10"/>
      <c r="H184" s="20"/>
    </row>
    <row r="185" customFormat="false" ht="15" hidden="false" customHeight="false" outlineLevel="0" collapsed="false">
      <c r="A185" s="9" t="str">
        <f aca="false">IF(B185="","",ROW()-2)</f>
        <v/>
      </c>
      <c r="B185" s="16"/>
      <c r="C185" s="10"/>
      <c r="D185" s="10"/>
      <c r="E185" s="19" t="s">
        <v>121</v>
      </c>
      <c r="F185" s="10"/>
      <c r="G185" s="10"/>
      <c r="H185" s="20"/>
    </row>
    <row r="186" customFormat="false" ht="15" hidden="false" customHeight="false" outlineLevel="0" collapsed="false">
      <c r="A186" s="9" t="str">
        <f aca="false">IF(B186="","",ROW()-2)</f>
        <v/>
      </c>
      <c r="B186" s="16"/>
      <c r="C186" s="10"/>
      <c r="D186" s="10"/>
      <c r="E186" s="19" t="s">
        <v>121</v>
      </c>
      <c r="F186" s="10"/>
      <c r="G186" s="10"/>
      <c r="H186" s="20"/>
    </row>
    <row r="187" customFormat="false" ht="15" hidden="false" customHeight="false" outlineLevel="0" collapsed="false">
      <c r="A187" s="9" t="str">
        <f aca="false">IF(B187="","",ROW()-2)</f>
        <v/>
      </c>
      <c r="B187" s="16"/>
      <c r="C187" s="10"/>
      <c r="D187" s="10"/>
      <c r="E187" s="19" t="s">
        <v>121</v>
      </c>
      <c r="F187" s="10"/>
      <c r="G187" s="10"/>
      <c r="H187" s="20"/>
    </row>
    <row r="188" customFormat="false" ht="15" hidden="false" customHeight="false" outlineLevel="0" collapsed="false">
      <c r="A188" s="9" t="str">
        <f aca="false">IF(B188="","",ROW()-2)</f>
        <v/>
      </c>
      <c r="B188" s="16"/>
      <c r="C188" s="10"/>
      <c r="D188" s="10"/>
      <c r="E188" s="19" t="s">
        <v>121</v>
      </c>
      <c r="F188" s="10"/>
      <c r="G188" s="10"/>
      <c r="H188" s="20"/>
    </row>
    <row r="189" customFormat="false" ht="15" hidden="false" customHeight="false" outlineLevel="0" collapsed="false">
      <c r="A189" s="9" t="str">
        <f aca="false">IF(B189="","",ROW()-2)</f>
        <v/>
      </c>
      <c r="B189" s="16"/>
      <c r="C189" s="10"/>
      <c r="D189" s="10"/>
      <c r="E189" s="19" t="s">
        <v>121</v>
      </c>
      <c r="F189" s="10"/>
      <c r="G189" s="10"/>
      <c r="H189" s="20"/>
    </row>
    <row r="190" customFormat="false" ht="15" hidden="false" customHeight="false" outlineLevel="0" collapsed="false">
      <c r="A190" s="9" t="str">
        <f aca="false">IF(B190="","",ROW()-2)</f>
        <v/>
      </c>
      <c r="B190" s="16"/>
      <c r="C190" s="10"/>
      <c r="D190" s="10"/>
      <c r="E190" s="19" t="s">
        <v>121</v>
      </c>
      <c r="F190" s="10"/>
      <c r="G190" s="10"/>
      <c r="H190" s="20"/>
    </row>
    <row r="191" customFormat="false" ht="15" hidden="false" customHeight="false" outlineLevel="0" collapsed="false">
      <c r="A191" s="9" t="str">
        <f aca="false">IF(B191="","",ROW()-2)</f>
        <v/>
      </c>
      <c r="B191" s="16"/>
      <c r="C191" s="10"/>
      <c r="D191" s="10"/>
      <c r="E191" s="19" t="s">
        <v>121</v>
      </c>
      <c r="F191" s="10"/>
      <c r="G191" s="10"/>
      <c r="H191" s="20"/>
    </row>
    <row r="192" customFormat="false" ht="15" hidden="false" customHeight="false" outlineLevel="0" collapsed="false">
      <c r="A192" s="9" t="str">
        <f aca="false">IF(B192="","",ROW()-2)</f>
        <v/>
      </c>
      <c r="B192" s="16"/>
      <c r="C192" s="10"/>
      <c r="D192" s="10"/>
      <c r="E192" s="19" t="s">
        <v>121</v>
      </c>
      <c r="F192" s="10"/>
      <c r="G192" s="10"/>
      <c r="H192" s="20"/>
    </row>
    <row r="193" customFormat="false" ht="15" hidden="false" customHeight="false" outlineLevel="0" collapsed="false">
      <c r="A193" s="9" t="str">
        <f aca="false">IF(B193="","",ROW()-2)</f>
        <v/>
      </c>
      <c r="B193" s="16"/>
      <c r="C193" s="10"/>
      <c r="D193" s="10"/>
      <c r="E193" s="19" t="s">
        <v>121</v>
      </c>
      <c r="F193" s="10"/>
      <c r="G193" s="10"/>
      <c r="H193" s="20"/>
    </row>
    <row r="194" customFormat="false" ht="15" hidden="false" customHeight="false" outlineLevel="0" collapsed="false">
      <c r="A194" s="9" t="str">
        <f aca="false">IF(B194="","",ROW()-2)</f>
        <v/>
      </c>
      <c r="B194" s="16"/>
      <c r="C194" s="10"/>
      <c r="D194" s="10"/>
      <c r="E194" s="19" t="s">
        <v>121</v>
      </c>
      <c r="F194" s="10"/>
      <c r="G194" s="10"/>
      <c r="H194" s="20"/>
    </row>
    <row r="195" customFormat="false" ht="15" hidden="false" customHeight="false" outlineLevel="0" collapsed="false">
      <c r="A195" s="9" t="str">
        <f aca="false">IF(B195="","",ROW()-2)</f>
        <v/>
      </c>
      <c r="B195" s="16"/>
      <c r="C195" s="10"/>
      <c r="D195" s="10"/>
      <c r="E195" s="19" t="s">
        <v>121</v>
      </c>
      <c r="F195" s="10"/>
      <c r="G195" s="10"/>
      <c r="H195" s="20"/>
    </row>
    <row r="196" customFormat="false" ht="15" hidden="false" customHeight="false" outlineLevel="0" collapsed="false">
      <c r="A196" s="9" t="str">
        <f aca="false">IF(B196="","",ROW()-2)</f>
        <v/>
      </c>
      <c r="B196" s="16"/>
      <c r="C196" s="10"/>
      <c r="D196" s="10"/>
      <c r="E196" s="19" t="s">
        <v>121</v>
      </c>
      <c r="F196" s="10"/>
      <c r="G196" s="10"/>
      <c r="H196" s="20"/>
    </row>
    <row r="197" customFormat="false" ht="15" hidden="false" customHeight="false" outlineLevel="0" collapsed="false">
      <c r="A197" s="9" t="str">
        <f aca="false">IF(B197="","",ROW()-2)</f>
        <v/>
      </c>
      <c r="B197" s="16"/>
      <c r="C197" s="10"/>
      <c r="D197" s="10"/>
      <c r="E197" s="19" t="s">
        <v>121</v>
      </c>
      <c r="F197" s="10"/>
      <c r="G197" s="10"/>
      <c r="H197" s="20"/>
    </row>
    <row r="198" customFormat="false" ht="15" hidden="false" customHeight="false" outlineLevel="0" collapsed="false">
      <c r="A198" s="9" t="str">
        <f aca="false">IF(B198="","",ROW()-2)</f>
        <v/>
      </c>
      <c r="B198" s="16"/>
      <c r="C198" s="10"/>
      <c r="D198" s="10"/>
      <c r="E198" s="19" t="s">
        <v>121</v>
      </c>
      <c r="F198" s="10"/>
      <c r="G198" s="10"/>
      <c r="H198" s="20"/>
    </row>
    <row r="199" customFormat="false" ht="15" hidden="false" customHeight="false" outlineLevel="0" collapsed="false">
      <c r="A199" s="9" t="str">
        <f aca="false">IF(B199="","",ROW()-2)</f>
        <v/>
      </c>
      <c r="B199" s="16"/>
      <c r="C199" s="10"/>
      <c r="D199" s="10"/>
      <c r="E199" s="19" t="s">
        <v>121</v>
      </c>
      <c r="F199" s="10"/>
      <c r="G199" s="10"/>
      <c r="H199" s="20"/>
    </row>
    <row r="200" customFormat="false" ht="15" hidden="false" customHeight="false" outlineLevel="0" collapsed="false">
      <c r="A200" s="9" t="str">
        <f aca="false">IF(B200="","",ROW()-2)</f>
        <v/>
      </c>
      <c r="B200" s="16"/>
      <c r="C200" s="10"/>
      <c r="D200" s="10"/>
      <c r="E200" s="19" t="s">
        <v>121</v>
      </c>
      <c r="F200" s="10"/>
      <c r="G200" s="10"/>
      <c r="H200" s="20"/>
    </row>
    <row r="201" customFormat="false" ht="15" hidden="false" customHeight="false" outlineLevel="0" collapsed="false">
      <c r="A201" s="9" t="str">
        <f aca="false">IF(B201="","",ROW()-2)</f>
        <v/>
      </c>
      <c r="B201" s="16"/>
      <c r="C201" s="10"/>
      <c r="D201" s="10"/>
      <c r="E201" s="19" t="s">
        <v>121</v>
      </c>
      <c r="F201" s="10"/>
      <c r="G201" s="10"/>
      <c r="H201" s="20"/>
    </row>
    <row r="202" customFormat="false" ht="15" hidden="false" customHeight="false" outlineLevel="0" collapsed="false">
      <c r="A202" s="9" t="str">
        <f aca="false">IF(B202="","",ROW()-2)</f>
        <v/>
      </c>
      <c r="B202" s="16"/>
      <c r="C202" s="10"/>
      <c r="D202" s="10"/>
      <c r="E202" s="19" t="s">
        <v>121</v>
      </c>
      <c r="F202" s="10"/>
      <c r="G202" s="10"/>
      <c r="H202" s="20"/>
    </row>
  </sheetData>
  <dataValidations count="4">
    <dataValidation allowBlank="true" errorStyle="stop" operator="between" showDropDown="false" showErrorMessage="false" showInputMessage="false" sqref="B3:B202" type="list">
      <formula1>Listas!$B$2:$B$14</formula1>
      <formula2>0</formula2>
    </dataValidation>
    <dataValidation allowBlank="true" errorStyle="stop" operator="between" showDropDown="false" showErrorMessage="false" showInputMessage="false" sqref="D3:D202" type="list">
      <formula1>Listas!$E$2:$E$8</formula1>
      <formula2>0</formula2>
    </dataValidation>
    <dataValidation allowBlank="true" errorStyle="stop" operator="between" showDropDown="false" showErrorMessage="false" showInputMessage="false" sqref="F3:F202" type="list">
      <formula1>Listas!$C$2:$C$3</formula1>
      <formula2>0</formula2>
    </dataValidation>
    <dataValidation allowBlank="true" errorStyle="stop" operator="between" showDropDown="false" showErrorMessage="false" showInputMessage="false" sqref="G3:G202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9" min="8" style="0" width="16"/>
  </cols>
  <sheetData>
    <row r="1" customFormat="false" ht="31.5" hidden="false" customHeight="true" outlineLevel="0" collapsed="false">
      <c r="A1" s="8" t="s">
        <v>122</v>
      </c>
      <c r="B1" s="8" t="s">
        <v>123</v>
      </c>
      <c r="C1" s="8" t="s">
        <v>124</v>
      </c>
      <c r="D1" s="8" t="s">
        <v>125</v>
      </c>
      <c r="E1" s="8" t="s">
        <v>126</v>
      </c>
      <c r="F1" s="8" t="s">
        <v>127</v>
      </c>
      <c r="G1" s="8" t="s">
        <v>128</v>
      </c>
      <c r="H1" s="8" t="s">
        <v>129</v>
      </c>
      <c r="I1" s="8" t="s">
        <v>130</v>
      </c>
    </row>
    <row r="2" customFormat="false" ht="15" hidden="false" customHeight="false" outlineLevel="0" collapsed="false">
      <c r="A2" s="9" t="n">
        <v>1</v>
      </c>
      <c r="B2" s="21" t="n">
        <v>46267</v>
      </c>
      <c r="C2" s="22" t="str">
        <f aca="false">IFERROR(AVERAGEIFS(TPR_PRE!$F$3:$F$202,TPR_PRE!$B$3:$B$202,B2),"")</f>
        <v/>
      </c>
      <c r="D2" s="23" t="str">
        <f aca="false"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23" t="str">
        <f aca="false">IFERROR(COUNTIFS(Consultas_PRE!$B$3:$B$202,B2,Consultas_PRE!$F$3:$F$202,"Sí")/COUNTIFS(Consultas_PRE!$B$3:$B$202,B2),"")</f>
        <v/>
      </c>
      <c r="F2" s="21" t="n">
        <v>46297</v>
      </c>
      <c r="G2" s="22" t="str">
        <f aca="false">IFERROR(AVERAGEIFS(TPR_POST!$F$3:$F$202,TPR_POST!$B$3:$B$202,F2),"")</f>
        <v/>
      </c>
      <c r="H2" s="23" t="str">
        <f aca="false"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23" t="str">
        <f aca="false">IFERROR(COUNTIFS(Consultas_POST!$B$3:$B$202,F2,Consultas_POST!$F$3:$F$202,"Sí")/COUNTIFS(Consultas_POST!$B$3:$B$202,F2),"")</f>
        <v/>
      </c>
    </row>
    <row r="3" customFormat="false" ht="15" hidden="false" customHeight="false" outlineLevel="0" collapsed="false">
      <c r="A3" s="9" t="n">
        <v>2</v>
      </c>
      <c r="B3" s="21" t="n">
        <v>46269</v>
      </c>
      <c r="C3" s="22" t="str">
        <f aca="false">IFERROR(AVERAGEIFS(TPR_PRE!$F$3:$F$202,TPR_PRE!$B$3:$B$202,B3),"")</f>
        <v/>
      </c>
      <c r="D3" s="23" t="str">
        <f aca="false"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23" t="str">
        <f aca="false">IFERROR(COUNTIFS(Consultas_PRE!$B$3:$B$202,B3,Consultas_PRE!$F$3:$F$202,"Sí")/COUNTIFS(Consultas_PRE!$B$3:$B$202,B3),"")</f>
        <v/>
      </c>
      <c r="F3" s="21" t="n">
        <v>46300</v>
      </c>
      <c r="G3" s="22" t="str">
        <f aca="false">IFERROR(AVERAGEIFS(TPR_POST!$F$3:$F$202,TPR_POST!$B$3:$B$202,F3),"")</f>
        <v/>
      </c>
      <c r="H3" s="23" t="str">
        <f aca="false"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23" t="str">
        <f aca="false">IFERROR(COUNTIFS(Consultas_POST!$B$3:$B$202,F3,Consultas_POST!$F$3:$F$202,"Sí")/COUNTIFS(Consultas_POST!$B$3:$B$202,F3),"")</f>
        <v/>
      </c>
    </row>
    <row r="4" customFormat="false" ht="15" hidden="false" customHeight="false" outlineLevel="0" collapsed="false">
      <c r="A4" s="9" t="n">
        <v>3</v>
      </c>
      <c r="B4" s="21" t="n">
        <v>46272</v>
      </c>
      <c r="C4" s="22" t="str">
        <f aca="false">IFERROR(AVERAGEIFS(TPR_PRE!$F$3:$F$202,TPR_PRE!$B$3:$B$202,B4),"")</f>
        <v/>
      </c>
      <c r="D4" s="23" t="str">
        <f aca="false"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23" t="str">
        <f aca="false">IFERROR(COUNTIFS(Consultas_PRE!$B$3:$B$202,B4,Consultas_PRE!$F$3:$F$202,"Sí")/COUNTIFS(Consultas_PRE!$B$3:$B$202,B4),"")</f>
        <v/>
      </c>
      <c r="F4" s="21" t="n">
        <v>46302</v>
      </c>
      <c r="G4" s="22" t="str">
        <f aca="false">IFERROR(AVERAGEIFS(TPR_POST!$F$3:$F$202,TPR_POST!$B$3:$B$202,F4),"")</f>
        <v/>
      </c>
      <c r="H4" s="23" t="str">
        <f aca="false"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23" t="str">
        <f aca="false">IFERROR(COUNTIFS(Consultas_POST!$B$3:$B$202,F4,Consultas_POST!$F$3:$F$202,"Sí")/COUNTIFS(Consultas_POST!$B$3:$B$202,F4),"")</f>
        <v/>
      </c>
    </row>
    <row r="5" customFormat="false" ht="15" hidden="false" customHeight="false" outlineLevel="0" collapsed="false">
      <c r="A5" s="9" t="n">
        <v>4</v>
      </c>
      <c r="B5" s="21" t="n">
        <v>46274</v>
      </c>
      <c r="C5" s="22" t="str">
        <f aca="false">IFERROR(AVERAGEIFS(TPR_PRE!$F$3:$F$202,TPR_PRE!$B$3:$B$202,B5),"")</f>
        <v/>
      </c>
      <c r="D5" s="23" t="str">
        <f aca="false"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23" t="str">
        <f aca="false">IFERROR(COUNTIFS(Consultas_PRE!$B$3:$B$202,B5,Consultas_PRE!$F$3:$F$202,"Sí")/COUNTIFS(Consultas_PRE!$B$3:$B$202,B5),"")</f>
        <v/>
      </c>
      <c r="F5" s="21" t="n">
        <v>46304</v>
      </c>
      <c r="G5" s="22" t="str">
        <f aca="false">IFERROR(AVERAGEIFS(TPR_POST!$F$3:$F$202,TPR_POST!$B$3:$B$202,F5),"")</f>
        <v/>
      </c>
      <c r="H5" s="23" t="str">
        <f aca="false"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23" t="str">
        <f aca="false">IFERROR(COUNTIFS(Consultas_POST!$B$3:$B$202,F5,Consultas_POST!$F$3:$F$202,"Sí")/COUNTIFS(Consultas_POST!$B$3:$B$202,F5),"")</f>
        <v/>
      </c>
    </row>
    <row r="6" customFormat="false" ht="15" hidden="false" customHeight="false" outlineLevel="0" collapsed="false">
      <c r="A6" s="9" t="n">
        <v>5</v>
      </c>
      <c r="B6" s="21" t="n">
        <v>46276</v>
      </c>
      <c r="C6" s="22" t="str">
        <f aca="false">IFERROR(AVERAGEIFS(TPR_PRE!$F$3:$F$202,TPR_PRE!$B$3:$B$202,B6),"")</f>
        <v/>
      </c>
      <c r="D6" s="23" t="str">
        <f aca="false"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23" t="str">
        <f aca="false">IFERROR(COUNTIFS(Consultas_PRE!$B$3:$B$202,B6,Consultas_PRE!$F$3:$F$202,"Sí")/COUNTIFS(Consultas_PRE!$B$3:$B$202,B6),"")</f>
        <v/>
      </c>
      <c r="F6" s="21" t="n">
        <v>46307</v>
      </c>
      <c r="G6" s="22" t="str">
        <f aca="false">IFERROR(AVERAGEIFS(TPR_POST!$F$3:$F$202,TPR_POST!$B$3:$B$202,F6),"")</f>
        <v/>
      </c>
      <c r="H6" s="23" t="str">
        <f aca="false"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23" t="str">
        <f aca="false">IFERROR(COUNTIFS(Consultas_POST!$B$3:$B$202,F6,Consultas_POST!$F$3:$F$202,"Sí")/COUNTIFS(Consultas_POST!$B$3:$B$202,F6),"")</f>
        <v/>
      </c>
    </row>
    <row r="7" customFormat="false" ht="15" hidden="false" customHeight="false" outlineLevel="0" collapsed="false">
      <c r="A7" s="9" t="n">
        <v>6</v>
      </c>
      <c r="B7" s="21" t="n">
        <v>46279</v>
      </c>
      <c r="C7" s="22" t="str">
        <f aca="false">IFERROR(AVERAGEIFS(TPR_PRE!$F$3:$F$202,TPR_PRE!$B$3:$B$202,B7),"")</f>
        <v/>
      </c>
      <c r="D7" s="23" t="str">
        <f aca="false"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23" t="str">
        <f aca="false">IFERROR(COUNTIFS(Consultas_PRE!$B$3:$B$202,B7,Consultas_PRE!$F$3:$F$202,"Sí")/COUNTIFS(Consultas_PRE!$B$3:$B$202,B7),"")</f>
        <v/>
      </c>
      <c r="F7" s="21" t="n">
        <v>46309</v>
      </c>
      <c r="G7" s="22" t="str">
        <f aca="false">IFERROR(AVERAGEIFS(TPR_POST!$F$3:$F$202,TPR_POST!$B$3:$B$202,F7),"")</f>
        <v/>
      </c>
      <c r="H7" s="23" t="str">
        <f aca="false"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23" t="str">
        <f aca="false">IFERROR(COUNTIFS(Consultas_POST!$B$3:$B$202,F7,Consultas_POST!$F$3:$F$202,"Sí")/COUNTIFS(Consultas_POST!$B$3:$B$202,F7),"")</f>
        <v/>
      </c>
    </row>
    <row r="8" customFormat="false" ht="15" hidden="false" customHeight="false" outlineLevel="0" collapsed="false">
      <c r="A8" s="9" t="n">
        <v>7</v>
      </c>
      <c r="B8" s="21" t="n">
        <v>46281</v>
      </c>
      <c r="C8" s="22" t="str">
        <f aca="false">IFERROR(AVERAGEIFS(TPR_PRE!$F$3:$F$202,TPR_PRE!$B$3:$B$202,B8),"")</f>
        <v/>
      </c>
      <c r="D8" s="23" t="str">
        <f aca="false"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23" t="str">
        <f aca="false">IFERROR(COUNTIFS(Consultas_PRE!$B$3:$B$202,B8,Consultas_PRE!$F$3:$F$202,"Sí")/COUNTIFS(Consultas_PRE!$B$3:$B$202,B8),"")</f>
        <v/>
      </c>
      <c r="F8" s="21" t="n">
        <v>46311</v>
      </c>
      <c r="G8" s="22" t="str">
        <f aca="false">IFERROR(AVERAGEIFS(TPR_POST!$F$3:$F$202,TPR_POST!$B$3:$B$202,F8),"")</f>
        <v/>
      </c>
      <c r="H8" s="23" t="str">
        <f aca="false"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23" t="str">
        <f aca="false">IFERROR(COUNTIFS(Consultas_POST!$B$3:$B$202,F8,Consultas_POST!$F$3:$F$202,"Sí")/COUNTIFS(Consultas_POST!$B$3:$B$202,F8),"")</f>
        <v/>
      </c>
    </row>
    <row r="9" customFormat="false" ht="15" hidden="false" customHeight="false" outlineLevel="0" collapsed="false">
      <c r="A9" s="9" t="n">
        <v>8</v>
      </c>
      <c r="B9" s="21" t="n">
        <v>46283</v>
      </c>
      <c r="C9" s="22" t="str">
        <f aca="false">IFERROR(AVERAGEIFS(TPR_PRE!$F$3:$F$202,TPR_PRE!$B$3:$B$202,B9),"")</f>
        <v/>
      </c>
      <c r="D9" s="23" t="str">
        <f aca="false"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23" t="str">
        <f aca="false">IFERROR(COUNTIFS(Consultas_PRE!$B$3:$B$202,B9,Consultas_PRE!$F$3:$F$202,"Sí")/COUNTIFS(Consultas_PRE!$B$3:$B$202,B9),"")</f>
        <v/>
      </c>
      <c r="F9" s="21" t="n">
        <v>46314</v>
      </c>
      <c r="G9" s="22" t="str">
        <f aca="false">IFERROR(AVERAGEIFS(TPR_POST!$F$3:$F$202,TPR_POST!$B$3:$B$202,F9),"")</f>
        <v/>
      </c>
      <c r="H9" s="23" t="str">
        <f aca="false"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23" t="str">
        <f aca="false">IFERROR(COUNTIFS(Consultas_POST!$B$3:$B$202,F9,Consultas_POST!$F$3:$F$202,"Sí")/COUNTIFS(Consultas_POST!$B$3:$B$202,F9),"")</f>
        <v/>
      </c>
    </row>
    <row r="10" customFormat="false" ht="15" hidden="false" customHeight="false" outlineLevel="0" collapsed="false">
      <c r="A10" s="9" t="n">
        <v>9</v>
      </c>
      <c r="B10" s="21" t="n">
        <v>46286</v>
      </c>
      <c r="C10" s="22" t="str">
        <f aca="false">IFERROR(AVERAGEIFS(TPR_PRE!$F$3:$F$202,TPR_PRE!$B$3:$B$202,B10),"")</f>
        <v/>
      </c>
      <c r="D10" s="23" t="str">
        <f aca="false"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23" t="str">
        <f aca="false">IFERROR(COUNTIFS(Consultas_PRE!$B$3:$B$202,B10,Consultas_PRE!$F$3:$F$202,"Sí")/COUNTIFS(Consultas_PRE!$B$3:$B$202,B10),"")</f>
        <v/>
      </c>
      <c r="F10" s="21" t="n">
        <v>46316</v>
      </c>
      <c r="G10" s="22" t="str">
        <f aca="false">IFERROR(AVERAGEIFS(TPR_POST!$F$3:$F$202,TPR_POST!$B$3:$B$202,F10),"")</f>
        <v/>
      </c>
      <c r="H10" s="23" t="str">
        <f aca="false"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23" t="str">
        <f aca="false">IFERROR(COUNTIFS(Consultas_POST!$B$3:$B$202,F10,Consultas_POST!$F$3:$F$202,"Sí")/COUNTIFS(Consultas_POST!$B$3:$B$202,F10),"")</f>
        <v/>
      </c>
    </row>
    <row r="11" customFormat="false" ht="15" hidden="false" customHeight="false" outlineLevel="0" collapsed="false">
      <c r="A11" s="9" t="n">
        <v>10</v>
      </c>
      <c r="B11" s="21" t="n">
        <v>46288</v>
      </c>
      <c r="C11" s="22" t="str">
        <f aca="false">IFERROR(AVERAGEIFS(TPR_PRE!$F$3:$F$202,TPR_PRE!$B$3:$B$202,B11),"")</f>
        <v/>
      </c>
      <c r="D11" s="23" t="str">
        <f aca="false"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23" t="str">
        <f aca="false">IFERROR(COUNTIFS(Consultas_PRE!$B$3:$B$202,B11,Consultas_PRE!$F$3:$F$202,"Sí")/COUNTIFS(Consultas_PRE!$B$3:$B$202,B11),"")</f>
        <v/>
      </c>
      <c r="F11" s="21" t="n">
        <v>46318</v>
      </c>
      <c r="G11" s="22" t="str">
        <f aca="false">IFERROR(AVERAGEIFS(TPR_POST!$F$3:$F$202,TPR_POST!$B$3:$B$202,F11),"")</f>
        <v/>
      </c>
      <c r="H11" s="23" t="str">
        <f aca="false"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23" t="str">
        <f aca="false">IFERROR(COUNTIFS(Consultas_POST!$B$3:$B$202,F11,Consultas_POST!$F$3:$F$202,"Sí")/COUNTIFS(Consultas_POST!$B$3:$B$202,F11),"")</f>
        <v/>
      </c>
    </row>
    <row r="12" customFormat="false" ht="15" hidden="false" customHeight="false" outlineLevel="0" collapsed="false">
      <c r="A12" s="9" t="n">
        <v>11</v>
      </c>
      <c r="B12" s="21" t="n">
        <v>46290</v>
      </c>
      <c r="C12" s="22" t="str">
        <f aca="false">IFERROR(AVERAGEIFS(TPR_PRE!$F$3:$F$202,TPR_PRE!$B$3:$B$202,B12),"")</f>
        <v/>
      </c>
      <c r="D12" s="23" t="str">
        <f aca="false"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23" t="str">
        <f aca="false">IFERROR(COUNTIFS(Consultas_PRE!$B$3:$B$202,B12,Consultas_PRE!$F$3:$F$202,"Sí")/COUNTIFS(Consultas_PRE!$B$3:$B$202,B12),"")</f>
        <v/>
      </c>
      <c r="F12" s="21" t="n">
        <v>46321</v>
      </c>
      <c r="G12" s="22" t="str">
        <f aca="false">IFERROR(AVERAGEIFS(TPR_POST!$F$3:$F$202,TPR_POST!$B$3:$B$202,F12),"")</f>
        <v/>
      </c>
      <c r="H12" s="23" t="str">
        <f aca="false"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23" t="str">
        <f aca="false">IFERROR(COUNTIFS(Consultas_POST!$B$3:$B$202,F12,Consultas_POST!$F$3:$F$202,"Sí")/COUNTIFS(Consultas_POST!$B$3:$B$202,F12),"")</f>
        <v/>
      </c>
    </row>
    <row r="13" customFormat="false" ht="15" hidden="false" customHeight="false" outlineLevel="0" collapsed="false">
      <c r="A13" s="9" t="n">
        <v>12</v>
      </c>
      <c r="B13" s="21" t="n">
        <v>46293</v>
      </c>
      <c r="C13" s="22" t="str">
        <f aca="false">IFERROR(AVERAGEIFS(TPR_PRE!$F$3:$F$202,TPR_PRE!$B$3:$B$202,B13),"")</f>
        <v/>
      </c>
      <c r="D13" s="23" t="str">
        <f aca="false"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23" t="str">
        <f aca="false">IFERROR(COUNTIFS(Consultas_PRE!$B$3:$B$202,B13,Consultas_PRE!$F$3:$F$202,"Sí")/COUNTIFS(Consultas_PRE!$B$3:$B$202,B13),"")</f>
        <v/>
      </c>
      <c r="F13" s="21" t="n">
        <v>46323</v>
      </c>
      <c r="G13" s="22" t="str">
        <f aca="false">IFERROR(AVERAGEIFS(TPR_POST!$F$3:$F$202,TPR_POST!$B$3:$B$202,F13),"")</f>
        <v/>
      </c>
      <c r="H13" s="23" t="str">
        <f aca="false"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23" t="str">
        <f aca="false">IFERROR(COUNTIFS(Consultas_POST!$B$3:$B$202,F13,Consultas_POST!$F$3:$F$202,"Sí")/COUNTIFS(Consultas_POST!$B$3:$B$202,F13),"")</f>
        <v/>
      </c>
    </row>
    <row r="14" customFormat="false" ht="15" hidden="false" customHeight="false" outlineLevel="0" collapsed="false">
      <c r="A14" s="9" t="n">
        <v>13</v>
      </c>
      <c r="B14" s="21" t="n">
        <v>46295</v>
      </c>
      <c r="C14" s="22" t="str">
        <f aca="false">IFERROR(AVERAGEIFS(TPR_PRE!$F$3:$F$202,TPR_PRE!$B$3:$B$202,B14),"")</f>
        <v/>
      </c>
      <c r="D14" s="23" t="str">
        <f aca="false"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23" t="str">
        <f aca="false">IFERROR(COUNTIFS(Consultas_PRE!$B$3:$B$202,B14,Consultas_PRE!$F$3:$F$202,"Sí")/COUNTIFS(Consultas_PRE!$B$3:$B$202,B14),"")</f>
        <v/>
      </c>
      <c r="F14" s="21" t="n">
        <v>46325</v>
      </c>
      <c r="G14" s="22" t="str">
        <f aca="false">IFERROR(AVERAGEIFS(TPR_POST!$F$3:$F$202,TPR_POST!$B$3:$B$202,F14),"")</f>
        <v/>
      </c>
      <c r="H14" s="23" t="str">
        <f aca="false"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23" t="str">
        <f aca="false">IFERROR(COUNTIFS(Consultas_POST!$B$3:$B$202,F14,Consultas_POST!$F$3:$F$202,"Sí")/COUNTIFS(Consultas_POST!$B$3:$B$202,F14),"")</f>
        <v/>
      </c>
    </row>
    <row r="16" customFormat="false" ht="15" hidden="false" customHeight="false" outlineLevel="0" collapsed="false">
      <c r="A16" s="7" t="s">
        <v>131</v>
      </c>
      <c r="B16" s="7"/>
      <c r="C16" s="7"/>
      <c r="D16" s="7"/>
      <c r="E16" s="7"/>
      <c r="F16" s="7"/>
      <c r="G16" s="7"/>
      <c r="H16" s="7"/>
      <c r="I16" s="7"/>
    </row>
  </sheetData>
  <mergeCells count="1">
    <mergeCell ref="A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</row>
    <row r="2" customFormat="false" ht="30" hidden="false" customHeight="true" outlineLevel="0" collapsed="false">
      <c r="A2" s="24" t="s">
        <v>137</v>
      </c>
      <c r="B2" s="22" t="str">
        <f aca="false">IFERROR(AVERAGE(Sesiones!C2:C14),"")</f>
        <v/>
      </c>
      <c r="C2" s="22" t="str">
        <f aca="false">IFERROR(AVERAGE(Sesiones!G2:G14),"")</f>
        <v/>
      </c>
      <c r="D2" s="22" t="str">
        <f aca="false">IFERROR(C2-B2,"")</f>
        <v/>
      </c>
      <c r="E2" s="25" t="s">
        <v>138</v>
      </c>
    </row>
    <row r="3" customFormat="false" ht="30" hidden="false" customHeight="true" outlineLevel="0" collapsed="false">
      <c r="A3" s="24" t="s">
        <v>139</v>
      </c>
      <c r="B3" s="23" t="str">
        <f aca="false">IFERROR(AVERAGE(Sesiones!D2:D14),"")</f>
        <v/>
      </c>
      <c r="C3" s="23" t="str">
        <f aca="false">IFERROR(AVERAGE(Sesiones!H2:H14),"")</f>
        <v/>
      </c>
      <c r="D3" s="23" t="str">
        <f aca="false">IFERROR(C3-B3,"")</f>
        <v/>
      </c>
      <c r="E3" s="25" t="s">
        <v>138</v>
      </c>
    </row>
    <row r="4" customFormat="false" ht="30" hidden="false" customHeight="true" outlineLevel="0" collapsed="false">
      <c r="A4" s="24" t="s">
        <v>140</v>
      </c>
      <c r="B4" s="23" t="str">
        <f aca="false">IFERROR(AVERAGE(Sesiones!E2:E14),"")</f>
        <v/>
      </c>
      <c r="C4" s="23" t="str">
        <f aca="false">IFERROR(AVERAGE(Sesiones!I2:I14),"")</f>
        <v/>
      </c>
      <c r="D4" s="23" t="str">
        <f aca="false">IFERROR(C4-B4,"")</f>
        <v/>
      </c>
      <c r="E4" s="25" t="s">
        <v>141</v>
      </c>
    </row>
    <row r="7" customFormat="false" ht="15" hidden="false" customHeight="false" outlineLevel="0" collapsed="false">
      <c r="A7" s="7" t="s">
        <v>142</v>
      </c>
      <c r="B7" s="7"/>
      <c r="C7" s="7"/>
      <c r="D7" s="7"/>
      <c r="E7" s="7"/>
    </row>
  </sheetData>
  <mergeCells count="1">
    <mergeCell ref="A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2026-09-26T20:21:08Z</dcterms:created>
  <dc:creator>openpyxl</dc:creator>
  <dc:description/>
  <dc:language>en-US</dc:language>
  <cp:lastModifiedBy/>
  <dcterms:modified xsi:type="dcterms:W3CDTF">2026-09-26T20:21:08Z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